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8c3a469c6758a1a/Desktop/"/>
    </mc:Choice>
  </mc:AlternateContent>
  <xr:revisionPtr revIDLastSave="24" documentId="11_F25DC773A252ABDACC104860A99B70E85BDE58F3" xr6:coauthVersionLast="47" xr6:coauthVersionMax="47" xr10:uidLastSave="{76D19ADA-7221-4C04-AD0C-338770F0D4C1}"/>
  <bookViews>
    <workbookView xWindow="12463" yWindow="0" windowWidth="12776" windowHeight="14243" firstSheet="23" activeTab="26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OPAO" sheetId="13" r:id="rId13"/>
    <sheet name="Felinhen" sheetId="14" r:id="rId14"/>
    <sheet name="Joshua" sheetId="15" r:id="rId15"/>
    <sheet name="Garnod" sheetId="25" r:id="rId16"/>
    <sheet name="Sheet13" sheetId="16" r:id="rId17"/>
    <sheet name="Lurgshall" sheetId="17" r:id="rId18"/>
    <sheet name="Sheet15" sheetId="18" r:id="rId19"/>
    <sheet name="Fitzharris" sheetId="19" r:id="rId20"/>
    <sheet name="AWAN" sheetId="20" r:id="rId21"/>
    <sheet name="CMC" sheetId="21" r:id="rId22"/>
    <sheet name="Abertafol" sheetId="22" r:id="rId23"/>
    <sheet name="Armstrong" sheetId="23" r:id="rId24"/>
    <sheet name="Mortexa" sheetId="24" r:id="rId25"/>
    <sheet name="Propleis" sheetId="26" r:id="rId26"/>
    <sheet name="Selorne" sheetId="27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27" l="1"/>
  <c r="G5" i="27"/>
  <c r="G12" i="27"/>
  <c r="D7" i="27"/>
  <c r="D9" i="27"/>
  <c r="F6" i="27"/>
  <c r="F5" i="27"/>
  <c r="G7" i="27" s="1"/>
  <c r="F7" i="27" s="1"/>
  <c r="D19" i="26"/>
  <c r="D18" i="26"/>
  <c r="C15" i="26"/>
  <c r="G10" i="26"/>
  <c r="E11" i="26"/>
  <c r="F11" i="26"/>
  <c r="G11" i="26"/>
  <c r="C13" i="26" s="1"/>
  <c r="C14" i="26" s="1"/>
  <c r="D20" i="26" s="1"/>
  <c r="D21" i="26" s="1"/>
  <c r="D11" i="26"/>
  <c r="E9" i="26"/>
  <c r="F9" i="26"/>
  <c r="G9" i="26"/>
  <c r="D9" i="26"/>
  <c r="F7" i="26"/>
  <c r="G7" i="26"/>
  <c r="E7" i="26"/>
  <c r="F4" i="26"/>
  <c r="G4" i="26"/>
  <c r="E5" i="26"/>
  <c r="F5" i="26"/>
  <c r="G5" i="26"/>
  <c r="D5" i="26"/>
  <c r="E4" i="26"/>
  <c r="C14" i="25"/>
  <c r="H4" i="25"/>
  <c r="D8" i="25"/>
  <c r="D6" i="25"/>
  <c r="C49" i="15"/>
  <c r="G47" i="15"/>
  <c r="D36" i="15"/>
  <c r="E36" i="15"/>
  <c r="F36" i="15"/>
  <c r="C36" i="15"/>
  <c r="D33" i="15"/>
  <c r="E33" i="15"/>
  <c r="F33" i="15"/>
  <c r="C33" i="15"/>
  <c r="G45" i="15"/>
  <c r="G55" i="15"/>
  <c r="D20" i="24"/>
  <c r="D14" i="24"/>
  <c r="D16" i="24"/>
  <c r="D17" i="24" s="1"/>
  <c r="E5" i="24"/>
  <c r="L4" i="24" s="1"/>
  <c r="E4" i="24"/>
  <c r="C7" i="24"/>
  <c r="C9" i="24" s="1"/>
  <c r="D9" i="24" s="1"/>
  <c r="C11" i="23"/>
  <c r="C13" i="23"/>
  <c r="E51" i="23"/>
  <c r="D51" i="23"/>
  <c r="E50" i="23"/>
  <c r="D50" i="23"/>
  <c r="D48" i="23"/>
  <c r="E46" i="23"/>
  <c r="D46" i="23"/>
  <c r="E44" i="23"/>
  <c r="D44" i="23"/>
  <c r="E43" i="23"/>
  <c r="D43" i="23"/>
  <c r="E38" i="23"/>
  <c r="D38" i="23"/>
  <c r="E40" i="23"/>
  <c r="D40" i="23"/>
  <c r="C40" i="23"/>
  <c r="E37" i="23"/>
  <c r="D37" i="23"/>
  <c r="C37" i="23"/>
  <c r="D32" i="23"/>
  <c r="D30" i="23"/>
  <c r="G8" i="23"/>
  <c r="D10" i="23"/>
  <c r="E9" i="23"/>
  <c r="F7" i="23"/>
  <c r="F10" i="23" s="1"/>
  <c r="E6" i="23"/>
  <c r="C9" i="23"/>
  <c r="E7" i="23"/>
  <c r="G7" i="23" s="1"/>
  <c r="C14" i="23" s="1"/>
  <c r="C43" i="22"/>
  <c r="D26" i="22"/>
  <c r="D54" i="22"/>
  <c r="D43" i="22"/>
  <c r="D13" i="22"/>
  <c r="D36" i="22"/>
  <c r="D38" i="22" s="1"/>
  <c r="D48" i="22"/>
  <c r="D20" i="22"/>
  <c r="C13" i="22"/>
  <c r="C16" i="22" s="1"/>
  <c r="D16" i="22" s="1"/>
  <c r="D8" i="22"/>
  <c r="J68" i="21"/>
  <c r="I32" i="21"/>
  <c r="I44" i="21"/>
  <c r="D51" i="21"/>
  <c r="D32" i="21"/>
  <c r="D44" i="21" s="1"/>
  <c r="D26" i="21"/>
  <c r="D20" i="21"/>
  <c r="C16" i="21"/>
  <c r="D16" i="21" s="1"/>
  <c r="D14" i="21" s="1"/>
  <c r="I37" i="21" s="1"/>
  <c r="I39" i="21" s="1"/>
  <c r="D7" i="21"/>
  <c r="I6" i="20"/>
  <c r="H6" i="20"/>
  <c r="D34" i="20"/>
  <c r="D18" i="20"/>
  <c r="H4" i="20"/>
  <c r="I4" i="20"/>
  <c r="D45" i="20"/>
  <c r="E36" i="20"/>
  <c r="D36" i="20"/>
  <c r="E29" i="20"/>
  <c r="D29" i="20"/>
  <c r="E23" i="20"/>
  <c r="D23" i="20"/>
  <c r="E15" i="20"/>
  <c r="E16" i="20"/>
  <c r="E24" i="20" s="1"/>
  <c r="E37" i="20" s="1"/>
  <c r="E39" i="20" s="1"/>
  <c r="E41" i="20" s="1"/>
  <c r="E45" i="20" s="1"/>
  <c r="D10" i="20"/>
  <c r="D15" i="20"/>
  <c r="C18" i="20"/>
  <c r="D16" i="20" s="1"/>
  <c r="D24" i="20" s="1"/>
  <c r="C15" i="20"/>
  <c r="I5" i="20"/>
  <c r="I8" i="20" s="1"/>
  <c r="H5" i="20"/>
  <c r="H8" i="20" s="1"/>
  <c r="D7" i="20"/>
  <c r="E47" i="19"/>
  <c r="D47" i="19"/>
  <c r="D58" i="19"/>
  <c r="D57" i="19"/>
  <c r="E57" i="19"/>
  <c r="E46" i="19"/>
  <c r="D46" i="19"/>
  <c r="D44" i="19"/>
  <c r="E29" i="19"/>
  <c r="D29" i="19"/>
  <c r="C22" i="19"/>
  <c r="E11" i="19"/>
  <c r="E12" i="19" s="1"/>
  <c r="D23" i="19" s="1"/>
  <c r="D40" i="19" s="1"/>
  <c r="D42" i="19" s="1"/>
  <c r="D11" i="19"/>
  <c r="C11" i="19"/>
  <c r="D5" i="19"/>
  <c r="C14" i="19"/>
  <c r="D14" i="19" s="1"/>
  <c r="E37" i="17"/>
  <c r="F35" i="17"/>
  <c r="D31" i="17"/>
  <c r="D30" i="17"/>
  <c r="D10" i="17"/>
  <c r="D28" i="17"/>
  <c r="D25" i="17"/>
  <c r="D15" i="17"/>
  <c r="D45" i="18"/>
  <c r="D43" i="18"/>
  <c r="D37" i="18"/>
  <c r="D7" i="18"/>
  <c r="D36" i="18"/>
  <c r="D34" i="18"/>
  <c r="D33" i="18"/>
  <c r="D31" i="18"/>
  <c r="D27" i="18"/>
  <c r="C21" i="18"/>
  <c r="D12" i="18"/>
  <c r="C12" i="18"/>
  <c r="C15" i="18" s="1"/>
  <c r="D15" i="18" s="1"/>
  <c r="D4" i="18"/>
  <c r="C18" i="17"/>
  <c r="D18" i="17" s="1"/>
  <c r="D16" i="17" s="1"/>
  <c r="D22" i="17" s="1"/>
  <c r="D24" i="17" s="1"/>
  <c r="C15" i="17"/>
  <c r="D8" i="17"/>
  <c r="N8" i="16"/>
  <c r="L8" i="16"/>
  <c r="M8" i="16"/>
  <c r="K8" i="16"/>
  <c r="E14" i="16"/>
  <c r="F14" i="16"/>
  <c r="D14" i="16"/>
  <c r="J13" i="16"/>
  <c r="C21" i="16"/>
  <c r="E17" i="16"/>
  <c r="F17" i="16"/>
  <c r="G17" i="16"/>
  <c r="D17" i="16"/>
  <c r="E15" i="16"/>
  <c r="F15" i="16"/>
  <c r="G15" i="16"/>
  <c r="D15" i="16"/>
  <c r="E6" i="16"/>
  <c r="F6" i="16"/>
  <c r="G6" i="16"/>
  <c r="E7" i="16"/>
  <c r="F7" i="16"/>
  <c r="G7" i="16"/>
  <c r="E8" i="16"/>
  <c r="F8" i="16"/>
  <c r="G8" i="16"/>
  <c r="D10" i="16"/>
  <c r="K7" i="16" s="1"/>
  <c r="J8" i="16" s="1"/>
  <c r="C18" i="16" s="1"/>
  <c r="E10" i="16"/>
  <c r="L7" i="16" s="1"/>
  <c r="D18" i="16" s="1"/>
  <c r="F10" i="16"/>
  <c r="M7" i="16" s="1"/>
  <c r="E18" i="16" s="1"/>
  <c r="G10" i="16"/>
  <c r="N7" i="16" s="1"/>
  <c r="D11" i="16"/>
  <c r="E11" i="16"/>
  <c r="F11" i="16"/>
  <c r="G11" i="16"/>
  <c r="D12" i="16"/>
  <c r="E12" i="16"/>
  <c r="F12" i="16"/>
  <c r="G12" i="16"/>
  <c r="D13" i="16"/>
  <c r="E13" i="16"/>
  <c r="F13" i="16"/>
  <c r="G13" i="16"/>
  <c r="E7" i="27" l="1"/>
  <c r="D12" i="27" s="1"/>
  <c r="G11" i="27" s="1"/>
  <c r="G14" i="27" s="1"/>
  <c r="G15" i="27" s="1"/>
  <c r="F8" i="27"/>
  <c r="D11" i="27"/>
  <c r="D14" i="27" s="1"/>
  <c r="D15" i="27" s="1"/>
  <c r="E9" i="24"/>
  <c r="E7" i="24" s="1"/>
  <c r="D7" i="24"/>
  <c r="D21" i="24" s="1"/>
  <c r="D23" i="24" s="1"/>
  <c r="D24" i="24" s="1"/>
  <c r="G9" i="23"/>
  <c r="C16" i="23" s="1"/>
  <c r="C10" i="23"/>
  <c r="G6" i="23"/>
  <c r="E10" i="23"/>
  <c r="C15" i="23"/>
  <c r="D14" i="22"/>
  <c r="C46" i="22" s="1"/>
  <c r="I40" i="21"/>
  <c r="I43" i="21" s="1"/>
  <c r="I46" i="21" s="1"/>
  <c r="D37" i="21"/>
  <c r="D39" i="21" s="1"/>
  <c r="D43" i="21" s="1"/>
  <c r="D46" i="21" s="1"/>
  <c r="D21" i="21"/>
  <c r="D23" i="21"/>
  <c r="D24" i="21" s="1"/>
  <c r="D28" i="21"/>
  <c r="E26" i="20"/>
  <c r="E27" i="20" s="1"/>
  <c r="D37" i="20"/>
  <c r="D39" i="20" s="1"/>
  <c r="D26" i="20"/>
  <c r="D27" i="20" s="1"/>
  <c r="D31" i="20"/>
  <c r="E31" i="20"/>
  <c r="D16" i="19"/>
  <c r="D34" i="19"/>
  <c r="D31" i="19"/>
  <c r="E31" i="19"/>
  <c r="D12" i="19"/>
  <c r="D25" i="19" s="1"/>
  <c r="D13" i="18"/>
  <c r="C22" i="18" s="1"/>
  <c r="C24" i="18"/>
  <c r="C25" i="18" s="1"/>
  <c r="D29" i="18"/>
  <c r="E21" i="16"/>
  <c r="G16" i="16"/>
  <c r="D21" i="16"/>
  <c r="F16" i="16"/>
  <c r="F18" i="16"/>
  <c r="G18" i="16"/>
  <c r="C48" i="15"/>
  <c r="C47" i="15"/>
  <c r="C30" i="15"/>
  <c r="C31" i="15"/>
  <c r="D29" i="15"/>
  <c r="D30" i="15" s="1"/>
  <c r="D9" i="15"/>
  <c r="C14" i="15"/>
  <c r="F6" i="15"/>
  <c r="F30" i="14"/>
  <c r="E30" i="14"/>
  <c r="G30" i="14"/>
  <c r="D32" i="14"/>
  <c r="D30" i="14"/>
  <c r="G29" i="14"/>
  <c r="F28" i="14"/>
  <c r="G28" i="14"/>
  <c r="E28" i="14"/>
  <c r="D18" i="14"/>
  <c r="F15" i="14"/>
  <c r="F16" i="14" s="1"/>
  <c r="F18" i="14" s="1"/>
  <c r="G15" i="14"/>
  <c r="G16" i="14" s="1"/>
  <c r="G18" i="14" s="1"/>
  <c r="H15" i="14"/>
  <c r="H16" i="14" s="1"/>
  <c r="H18" i="14" s="1"/>
  <c r="I15" i="14"/>
  <c r="I16" i="14" s="1"/>
  <c r="E15" i="14"/>
  <c r="E16" i="14" s="1"/>
  <c r="E18" i="14" s="1"/>
  <c r="D5" i="14"/>
  <c r="D6" i="14" s="1"/>
  <c r="D7" i="14" s="1"/>
  <c r="D8" i="14" s="1"/>
  <c r="C47" i="13"/>
  <c r="K55" i="13"/>
  <c r="K54" i="13"/>
  <c r="K53" i="13"/>
  <c r="K52" i="13"/>
  <c r="K51" i="13"/>
  <c r="K50" i="13"/>
  <c r="K49" i="13"/>
  <c r="K48" i="13"/>
  <c r="K47" i="13"/>
  <c r="G39" i="13"/>
  <c r="C42" i="13"/>
  <c r="C38" i="13"/>
  <c r="C16" i="13"/>
  <c r="C14" i="13"/>
  <c r="C55" i="13"/>
  <c r="G54" i="13"/>
  <c r="C46" i="13"/>
  <c r="C54" i="13" s="1"/>
  <c r="C57" i="13" s="1"/>
  <c r="C58" i="13" s="1"/>
  <c r="G38" i="13"/>
  <c r="C39" i="13"/>
  <c r="C24" i="13"/>
  <c r="D23" i="13"/>
  <c r="C8" i="13"/>
  <c r="C12" i="13" s="1"/>
  <c r="C13" i="13" s="1"/>
  <c r="C4" i="13"/>
  <c r="G20" i="12"/>
  <c r="C20" i="12"/>
  <c r="G18" i="12"/>
  <c r="G15" i="12"/>
  <c r="C18" i="12"/>
  <c r="D15" i="12"/>
  <c r="D18" i="12" s="1"/>
  <c r="D20" i="12" s="1"/>
  <c r="E15" i="12"/>
  <c r="E18" i="12" s="1"/>
  <c r="E20" i="12" s="1"/>
  <c r="F15" i="12"/>
  <c r="F18" i="12" s="1"/>
  <c r="C15" i="12"/>
  <c r="E13" i="12"/>
  <c r="F13" i="12"/>
  <c r="D13" i="12"/>
  <c r="K20" i="12"/>
  <c r="L20" i="12"/>
  <c r="J20" i="12"/>
  <c r="I21" i="12"/>
  <c r="D12" i="12"/>
  <c r="E12" i="12"/>
  <c r="F12" i="12"/>
  <c r="C12" i="12"/>
  <c r="D11" i="12"/>
  <c r="E11" i="12"/>
  <c r="F11" i="12"/>
  <c r="C11" i="12"/>
  <c r="G10" i="12"/>
  <c r="E9" i="12"/>
  <c r="F9" i="12"/>
  <c r="D9" i="12"/>
  <c r="E7" i="12"/>
  <c r="F7" i="12"/>
  <c r="D7" i="12"/>
  <c r="K9" i="12"/>
  <c r="L9" i="12"/>
  <c r="J9" i="12"/>
  <c r="E6" i="12"/>
  <c r="F6" i="12"/>
  <c r="D6" i="12"/>
  <c r="K7" i="12"/>
  <c r="L7" i="12"/>
  <c r="J7" i="12"/>
  <c r="J17" i="12"/>
  <c r="K17" i="12"/>
  <c r="L17" i="12"/>
  <c r="K16" i="12"/>
  <c r="L16" i="12"/>
  <c r="J16" i="12"/>
  <c r="K15" i="12"/>
  <c r="L15" i="12"/>
  <c r="J15" i="12"/>
  <c r="J13" i="12"/>
  <c r="K13" i="12" s="1"/>
  <c r="L13" i="12" s="1"/>
  <c r="I14" i="12"/>
  <c r="J6" i="12"/>
  <c r="K6" i="12" s="1"/>
  <c r="L6" i="12" s="1"/>
  <c r="I5" i="12"/>
  <c r="D5" i="12"/>
  <c r="C9" i="12"/>
  <c r="G32" i="11"/>
  <c r="E31" i="11"/>
  <c r="E32" i="11"/>
  <c r="D15" i="11"/>
  <c r="D27" i="11"/>
  <c r="E27" i="11"/>
  <c r="C27" i="11"/>
  <c r="D25" i="11"/>
  <c r="E25" i="11"/>
  <c r="F25" i="11"/>
  <c r="C25" i="11"/>
  <c r="I25" i="11"/>
  <c r="M22" i="11"/>
  <c r="J20" i="11"/>
  <c r="M20" i="11"/>
  <c r="J21" i="11"/>
  <c r="I21" i="11"/>
  <c r="K11" i="11"/>
  <c r="K10" i="11"/>
  <c r="E23" i="11"/>
  <c r="F23" i="11"/>
  <c r="D23" i="11"/>
  <c r="D22" i="11"/>
  <c r="E22" i="11"/>
  <c r="F22" i="11"/>
  <c r="C22" i="11"/>
  <c r="D21" i="11"/>
  <c r="E21" i="11"/>
  <c r="F21" i="11"/>
  <c r="C21" i="11"/>
  <c r="E20" i="11"/>
  <c r="F20" i="11"/>
  <c r="D20" i="11"/>
  <c r="I15" i="11"/>
  <c r="L15" i="11"/>
  <c r="I16" i="11" s="1"/>
  <c r="L14" i="11"/>
  <c r="I14" i="11"/>
  <c r="D11" i="11"/>
  <c r="D13" i="11" s="1"/>
  <c r="E11" i="11"/>
  <c r="E13" i="11" s="1"/>
  <c r="F11" i="11"/>
  <c r="C11" i="11"/>
  <c r="C13" i="11" s="1"/>
  <c r="E8" i="11"/>
  <c r="F8" i="11"/>
  <c r="D8" i="11"/>
  <c r="C8" i="11"/>
  <c r="D7" i="11"/>
  <c r="E7" i="11"/>
  <c r="F7" i="11"/>
  <c r="C7" i="11"/>
  <c r="D6" i="11"/>
  <c r="E6" i="11"/>
  <c r="F6" i="11"/>
  <c r="C6" i="11"/>
  <c r="L8" i="11"/>
  <c r="I8" i="11"/>
  <c r="J8" i="11"/>
  <c r="K8" i="11"/>
  <c r="H8" i="11"/>
  <c r="I4" i="11"/>
  <c r="H29" i="10"/>
  <c r="H27" i="10"/>
  <c r="C31" i="10"/>
  <c r="C30" i="10"/>
  <c r="E49" i="10"/>
  <c r="E43" i="10"/>
  <c r="C22" i="10"/>
  <c r="D21" i="10"/>
  <c r="D11" i="10"/>
  <c r="D5" i="10"/>
  <c r="D9" i="10" s="1"/>
  <c r="D13" i="10" s="1"/>
  <c r="D15" i="10" s="1"/>
  <c r="D37" i="10" s="1"/>
  <c r="C38" i="10" s="1"/>
  <c r="D13" i="9"/>
  <c r="G9" i="9"/>
  <c r="G7" i="9"/>
  <c r="G5" i="9"/>
  <c r="G4" i="9"/>
  <c r="H5" i="8"/>
  <c r="G31" i="8"/>
  <c r="G29" i="8"/>
  <c r="G27" i="8"/>
  <c r="G24" i="8"/>
  <c r="F24" i="8"/>
  <c r="G21" i="8"/>
  <c r="G20" i="8"/>
  <c r="F21" i="8"/>
  <c r="F20" i="8"/>
  <c r="G12" i="8"/>
  <c r="F12" i="8"/>
  <c r="F11" i="8"/>
  <c r="E6" i="8"/>
  <c r="F7" i="8"/>
  <c r="F6" i="8"/>
  <c r="H7" i="8"/>
  <c r="H6" i="8"/>
  <c r="F5" i="8"/>
  <c r="E5" i="8"/>
  <c r="G6" i="8"/>
  <c r="G5" i="8"/>
  <c r="G17" i="7"/>
  <c r="G13" i="7"/>
  <c r="C20" i="7"/>
  <c r="C17" i="7"/>
  <c r="E11" i="7"/>
  <c r="E9" i="7"/>
  <c r="E10" i="7"/>
  <c r="E8" i="7"/>
  <c r="C13" i="7"/>
  <c r="D8" i="7"/>
  <c r="C5" i="7"/>
  <c r="D16" i="6"/>
  <c r="M4" i="6"/>
  <c r="N4" i="6"/>
  <c r="L4" i="6"/>
  <c r="K5" i="6"/>
  <c r="L5" i="6"/>
  <c r="M5" i="6"/>
  <c r="N5" i="6"/>
  <c r="J5" i="6"/>
  <c r="C20" i="6"/>
  <c r="D19" i="6"/>
  <c r="E19" i="6"/>
  <c r="F19" i="6"/>
  <c r="G19" i="6"/>
  <c r="C19" i="6"/>
  <c r="E17" i="6"/>
  <c r="F17" i="6"/>
  <c r="G17" i="6"/>
  <c r="D17" i="6"/>
  <c r="L29" i="6"/>
  <c r="M29" i="6"/>
  <c r="N29" i="6"/>
  <c r="K29" i="6"/>
  <c r="L28" i="6"/>
  <c r="M28" i="6"/>
  <c r="N28" i="6"/>
  <c r="K28" i="6"/>
  <c r="L27" i="6"/>
  <c r="M27" i="6"/>
  <c r="N27" i="6"/>
  <c r="K27" i="6"/>
  <c r="J25" i="6"/>
  <c r="K20" i="6"/>
  <c r="J24" i="6"/>
  <c r="E18" i="6"/>
  <c r="F18" i="6"/>
  <c r="G18" i="6"/>
  <c r="D18" i="6"/>
  <c r="E16" i="6"/>
  <c r="F16" i="6"/>
  <c r="G16" i="6"/>
  <c r="C15" i="6"/>
  <c r="C10" i="6"/>
  <c r="J13" i="6"/>
  <c r="F7" i="6"/>
  <c r="F9" i="6" s="1"/>
  <c r="G7" i="6"/>
  <c r="G9" i="6" s="1"/>
  <c r="E7" i="6"/>
  <c r="E9" i="6" s="1"/>
  <c r="D7" i="6"/>
  <c r="D9" i="6" s="1"/>
  <c r="C7" i="6"/>
  <c r="C9" i="6" s="1"/>
  <c r="C9" i="5"/>
  <c r="C8" i="5"/>
  <c r="O5" i="5"/>
  <c r="O4" i="5"/>
  <c r="N5" i="5"/>
  <c r="N4" i="5"/>
  <c r="C7" i="5"/>
  <c r="C6" i="5"/>
  <c r="C46" i="3"/>
  <c r="E40" i="3"/>
  <c r="F40" i="3"/>
  <c r="G40" i="3"/>
  <c r="D40" i="3"/>
  <c r="G39" i="3"/>
  <c r="G41" i="3" s="1"/>
  <c r="F39" i="3"/>
  <c r="F41" i="3" s="1"/>
  <c r="E39" i="3"/>
  <c r="E41" i="3" s="1"/>
  <c r="D41" i="3"/>
  <c r="D39" i="3"/>
  <c r="K35" i="3"/>
  <c r="C37" i="3"/>
  <c r="C50" i="4"/>
  <c r="C47" i="4"/>
  <c r="C49" i="4"/>
  <c r="C46" i="4"/>
  <c r="C42" i="4"/>
  <c r="E39" i="4"/>
  <c r="F39" i="4"/>
  <c r="D39" i="4"/>
  <c r="D38" i="4"/>
  <c r="E38" i="4"/>
  <c r="F38" i="4"/>
  <c r="C41" i="4" s="1"/>
  <c r="F32" i="4"/>
  <c r="E32" i="4"/>
  <c r="D32" i="4"/>
  <c r="F31" i="4"/>
  <c r="E31" i="4"/>
  <c r="D31" i="4"/>
  <c r="C22" i="4"/>
  <c r="C14" i="4"/>
  <c r="C7" i="4"/>
  <c r="D7" i="4" s="1"/>
  <c r="D25" i="4" s="1"/>
  <c r="C43" i="3"/>
  <c r="D43" i="3"/>
  <c r="F17" i="3"/>
  <c r="G17" i="3"/>
  <c r="E17" i="3"/>
  <c r="K25" i="3"/>
  <c r="K36" i="3"/>
  <c r="O26" i="3"/>
  <c r="O22" i="3"/>
  <c r="K22" i="3"/>
  <c r="K23" i="3" s="1"/>
  <c r="C4" i="3"/>
  <c r="C3" i="3"/>
  <c r="C31" i="3"/>
  <c r="E27" i="3"/>
  <c r="F27" i="3"/>
  <c r="G27" i="3"/>
  <c r="D27" i="3"/>
  <c r="E24" i="3"/>
  <c r="F24" i="3"/>
  <c r="G24" i="3"/>
  <c r="D24" i="3"/>
  <c r="D23" i="3"/>
  <c r="E23" i="3" s="1"/>
  <c r="F23" i="3" s="1"/>
  <c r="G23" i="3" s="1"/>
  <c r="D18" i="3"/>
  <c r="E19" i="3"/>
  <c r="F19" i="3" s="1"/>
  <c r="G19" i="3" s="1"/>
  <c r="E21" i="3"/>
  <c r="F21" i="3"/>
  <c r="G21" i="3"/>
  <c r="D17" i="3"/>
  <c r="D21" i="3" s="1"/>
  <c r="G10" i="3"/>
  <c r="G5" i="3"/>
  <c r="G7" i="3"/>
  <c r="G6" i="3"/>
  <c r="G11" i="3" s="1"/>
  <c r="H33" i="2"/>
  <c r="H32" i="2"/>
  <c r="H31" i="2"/>
  <c r="E32" i="2"/>
  <c r="F32" i="2"/>
  <c r="G32" i="2"/>
  <c r="D32" i="2"/>
  <c r="E31" i="2"/>
  <c r="F31" i="2"/>
  <c r="G31" i="2"/>
  <c r="D31" i="2"/>
  <c r="E23" i="2"/>
  <c r="G23" i="2"/>
  <c r="F23" i="2"/>
  <c r="E21" i="2"/>
  <c r="F21" i="2"/>
  <c r="G21" i="2"/>
  <c r="E22" i="2"/>
  <c r="F22" i="2"/>
  <c r="G22" i="2"/>
  <c r="D25" i="2"/>
  <c r="E25" i="2"/>
  <c r="F25" i="2"/>
  <c r="C25" i="2"/>
  <c r="D22" i="2"/>
  <c r="D21" i="2"/>
  <c r="E19" i="2"/>
  <c r="F19" i="2"/>
  <c r="G19" i="2"/>
  <c r="D19" i="2"/>
  <c r="F20" i="2"/>
  <c r="G20" i="2"/>
  <c r="E20" i="2"/>
  <c r="D18" i="2"/>
  <c r="E18" i="2"/>
  <c r="F18" i="2"/>
  <c r="C18" i="2"/>
  <c r="D15" i="2"/>
  <c r="E15" i="2"/>
  <c r="F15" i="2"/>
  <c r="C15" i="2"/>
  <c r="C13" i="2"/>
  <c r="E12" i="2"/>
  <c r="F12" i="2"/>
  <c r="G12" i="2"/>
  <c r="D12" i="2"/>
  <c r="F11" i="2"/>
  <c r="E7" i="2"/>
  <c r="E10" i="2" s="1"/>
  <c r="F7" i="2"/>
  <c r="F10" i="2" s="1"/>
  <c r="G7" i="2"/>
  <c r="G10" i="2" s="1"/>
  <c r="D7" i="2"/>
  <c r="D10" i="2" s="1"/>
  <c r="L9" i="2"/>
  <c r="M9" i="2"/>
  <c r="N9" i="2"/>
  <c r="K9" i="2"/>
  <c r="M8" i="2"/>
  <c r="N8" i="2"/>
  <c r="L8" i="2"/>
  <c r="K4" i="2"/>
  <c r="L4" i="2" s="1"/>
  <c r="M4" i="2" s="1"/>
  <c r="N4" i="2" s="1"/>
  <c r="C42" i="1"/>
  <c r="D39" i="1"/>
  <c r="E39" i="1"/>
  <c r="F39" i="1"/>
  <c r="G39" i="1"/>
  <c r="H39" i="1"/>
  <c r="E37" i="1"/>
  <c r="F37" i="1"/>
  <c r="G37" i="1"/>
  <c r="D37" i="1"/>
  <c r="C35" i="1"/>
  <c r="O12" i="1"/>
  <c r="M12" i="1"/>
  <c r="N12" i="1"/>
  <c r="O11" i="1"/>
  <c r="L12" i="1"/>
  <c r="K12" i="1"/>
  <c r="M11" i="1"/>
  <c r="N11" i="1"/>
  <c r="L11" i="1"/>
  <c r="H10" i="1"/>
  <c r="G10" i="1"/>
  <c r="E10" i="1"/>
  <c r="F10" i="1"/>
  <c r="D10" i="1"/>
  <c r="P17" i="1"/>
  <c r="O17" i="1"/>
  <c r="P16" i="1"/>
  <c r="O16" i="1"/>
  <c r="N16" i="1"/>
  <c r="M16" i="1"/>
  <c r="C39" i="1"/>
  <c r="F38" i="1"/>
  <c r="G38" i="1"/>
  <c r="H38" i="1"/>
  <c r="E38" i="1"/>
  <c r="F36" i="1"/>
  <c r="G36" i="1"/>
  <c r="H36" i="1"/>
  <c r="E36" i="1"/>
  <c r="C29" i="1"/>
  <c r="C16" i="1"/>
  <c r="C26" i="1"/>
  <c r="C24" i="1"/>
  <c r="C25" i="1" s="1"/>
  <c r="C23" i="1"/>
  <c r="C12" i="1"/>
  <c r="C15" i="1" s="1"/>
  <c r="L7" i="1"/>
  <c r="E6" i="24" l="1"/>
  <c r="I12" i="24"/>
  <c r="D13" i="24"/>
  <c r="E8" i="24"/>
  <c r="D46" i="22"/>
  <c r="D44" i="22" s="1"/>
  <c r="D49" i="22" s="1"/>
  <c r="D21" i="22"/>
  <c r="D23" i="22" s="1"/>
  <c r="D24" i="22" s="1"/>
  <c r="D27" i="22" s="1"/>
  <c r="D28" i="22" s="1"/>
  <c r="D51" i="22"/>
  <c r="D52" i="22" s="1"/>
  <c r="D55" i="22" s="1"/>
  <c r="C23" i="19"/>
  <c r="F21" i="16"/>
  <c r="C30" i="16" s="1"/>
  <c r="C31" i="16" s="1"/>
  <c r="G21" i="16"/>
  <c r="D30" i="16" s="1"/>
  <c r="D31" i="16" s="1"/>
  <c r="C23" i="16"/>
  <c r="C21" i="15"/>
  <c r="D31" i="15"/>
  <c r="E29" i="15"/>
  <c r="E30" i="15" s="1"/>
  <c r="F7" i="15"/>
  <c r="G8" i="15" s="1"/>
  <c r="I17" i="14"/>
  <c r="I18" i="14" s="1"/>
  <c r="D20" i="14"/>
  <c r="C18" i="13"/>
  <c r="D26" i="13"/>
  <c r="D24" i="13"/>
  <c r="E23" i="13"/>
  <c r="C25" i="13"/>
  <c r="C28" i="13" s="1"/>
  <c r="C30" i="13" s="1"/>
  <c r="F19" i="12"/>
  <c r="F20" i="12" s="1"/>
  <c r="C22" i="12"/>
  <c r="J5" i="12"/>
  <c r="E5" i="12"/>
  <c r="J12" i="12"/>
  <c r="J14" i="12" s="1"/>
  <c r="K12" i="12" s="1"/>
  <c r="K14" i="12" s="1"/>
  <c r="L12" i="12" s="1"/>
  <c r="L14" i="12" s="1"/>
  <c r="I17" i="12"/>
  <c r="C14" i="11"/>
  <c r="F12" i="11"/>
  <c r="F13" i="11" s="1"/>
  <c r="D5" i="11"/>
  <c r="E5" i="11"/>
  <c r="F5" i="11"/>
  <c r="C5" i="11"/>
  <c r="D38" i="10"/>
  <c r="E40" i="10" s="1"/>
  <c r="E45" i="10" s="1"/>
  <c r="E48" i="10" s="1"/>
  <c r="E51" i="10" s="1"/>
  <c r="D24" i="10"/>
  <c r="D22" i="10"/>
  <c r="E21" i="10"/>
  <c r="C23" i="10"/>
  <c r="C26" i="10" s="1"/>
  <c r="C28" i="10" s="1"/>
  <c r="G14" i="9"/>
  <c r="G11" i="8"/>
  <c r="G14" i="8" s="1"/>
  <c r="G15" i="8" s="1"/>
  <c r="F14" i="8"/>
  <c r="F15" i="8" s="1"/>
  <c r="F23" i="8"/>
  <c r="G23" i="8"/>
  <c r="C11" i="6"/>
  <c r="C23" i="6" s="1"/>
  <c r="L21" i="6"/>
  <c r="M21" i="6"/>
  <c r="N21" i="6"/>
  <c r="K21" i="6"/>
  <c r="K22" i="6"/>
  <c r="L19" i="6" s="1"/>
  <c r="L20" i="6" s="1"/>
  <c r="G43" i="3"/>
  <c r="F43" i="3"/>
  <c r="E43" i="3"/>
  <c r="C44" i="3"/>
  <c r="D22" i="4"/>
  <c r="D14" i="4"/>
  <c r="E14" i="4"/>
  <c r="E25" i="4" s="1"/>
  <c r="E22" i="4" s="1"/>
  <c r="F22" i="4"/>
  <c r="F25" i="4" s="1"/>
  <c r="L17" i="3"/>
  <c r="O17" i="3"/>
  <c r="O18" i="3" s="1"/>
  <c r="G28" i="3" s="1"/>
  <c r="N17" i="3"/>
  <c r="N18" i="3" s="1"/>
  <c r="F28" i="3" s="1"/>
  <c r="M17" i="3"/>
  <c r="M18" i="3" s="1"/>
  <c r="E28" i="3" s="1"/>
  <c r="D22" i="3"/>
  <c r="D25" i="3" s="1"/>
  <c r="D26" i="3" s="1"/>
  <c r="E18" i="3"/>
  <c r="G11" i="2"/>
  <c r="G15" i="2" s="1"/>
  <c r="G18" i="2" s="1"/>
  <c r="G25" i="2" s="1"/>
  <c r="C27" i="2" s="1"/>
  <c r="L8" i="1"/>
  <c r="M6" i="1" s="1"/>
  <c r="D8" i="1"/>
  <c r="D12" i="1"/>
  <c r="C25" i="19" l="1"/>
  <c r="C40" i="19"/>
  <c r="C42" i="19" s="1"/>
  <c r="D33" i="16"/>
  <c r="D35" i="16" s="1"/>
  <c r="E31" i="15"/>
  <c r="F29" i="15"/>
  <c r="F30" i="15" s="1"/>
  <c r="H8" i="15"/>
  <c r="I8" i="15"/>
  <c r="G47" i="13"/>
  <c r="G55" i="13" s="1"/>
  <c r="G57" i="13" s="1"/>
  <c r="G58" i="13" s="1"/>
  <c r="G41" i="13"/>
  <c r="G42" i="13" s="1"/>
  <c r="C49" i="13"/>
  <c r="C50" i="13" s="1"/>
  <c r="G46" i="13"/>
  <c r="G49" i="13" s="1"/>
  <c r="G50" i="13" s="1"/>
  <c r="E26" i="13"/>
  <c r="E24" i="13"/>
  <c r="F23" i="13"/>
  <c r="D25" i="13"/>
  <c r="D28" i="13" s="1"/>
  <c r="D30" i="13" s="1"/>
  <c r="K5" i="12"/>
  <c r="F5" i="12"/>
  <c r="L5" i="12" s="1"/>
  <c r="C15" i="11"/>
  <c r="N21" i="11" s="1"/>
  <c r="E24" i="10"/>
  <c r="E22" i="10"/>
  <c r="F21" i="10"/>
  <c r="D23" i="10"/>
  <c r="D26" i="10" s="1"/>
  <c r="D28" i="10" s="1"/>
  <c r="D14" i="9"/>
  <c r="D16" i="9" s="1"/>
  <c r="D17" i="9" s="1"/>
  <c r="G13" i="9"/>
  <c r="G16" i="9" s="1"/>
  <c r="G17" i="9" s="1"/>
  <c r="L22" i="6"/>
  <c r="M19" i="6" s="1"/>
  <c r="E22" i="3"/>
  <c r="E25" i="3" s="1"/>
  <c r="F18" i="3"/>
  <c r="L18" i="3"/>
  <c r="D28" i="3" s="1"/>
  <c r="D31" i="3" s="1"/>
  <c r="K18" i="3"/>
  <c r="C28" i="3" s="1"/>
  <c r="E12" i="1"/>
  <c r="D11" i="1"/>
  <c r="D9" i="1"/>
  <c r="D15" i="1" s="1"/>
  <c r="M7" i="1"/>
  <c r="C13" i="15" l="1"/>
  <c r="C15" i="15" s="1"/>
  <c r="C37" i="15" s="1"/>
  <c r="F31" i="15"/>
  <c r="F26" i="13"/>
  <c r="F24" i="13"/>
  <c r="E25" i="13"/>
  <c r="E28" i="13" s="1"/>
  <c r="E30" i="13" s="1"/>
  <c r="O20" i="11"/>
  <c r="N23" i="11"/>
  <c r="F24" i="10"/>
  <c r="F22" i="10"/>
  <c r="E23" i="10"/>
  <c r="E26" i="10" s="1"/>
  <c r="E28" i="10" s="1"/>
  <c r="M20" i="6"/>
  <c r="M22" i="6"/>
  <c r="N19" i="6" s="1"/>
  <c r="E26" i="3"/>
  <c r="E31" i="3"/>
  <c r="F22" i="3"/>
  <c r="F25" i="3" s="1"/>
  <c r="G18" i="3"/>
  <c r="G22" i="3" s="1"/>
  <c r="G25" i="3" s="1"/>
  <c r="E8" i="1"/>
  <c r="M8" i="1"/>
  <c r="N6" i="1" s="1"/>
  <c r="N7" i="1" s="1"/>
  <c r="G12" i="1"/>
  <c r="F12" i="1"/>
  <c r="F25" i="13" l="1"/>
  <c r="F28" i="13" s="1"/>
  <c r="O21" i="11"/>
  <c r="J22" i="11" s="1"/>
  <c r="I22" i="11" s="1"/>
  <c r="I24" i="11" s="1"/>
  <c r="I26" i="11" s="1"/>
  <c r="F23" i="10"/>
  <c r="F26" i="10" s="1"/>
  <c r="N20" i="6"/>
  <c r="N22" i="6"/>
  <c r="G26" i="3"/>
  <c r="G31" i="3"/>
  <c r="F26" i="3"/>
  <c r="F31" i="3"/>
  <c r="C33" i="3"/>
  <c r="N8" i="1"/>
  <c r="O6" i="1" s="1"/>
  <c r="F8" i="1"/>
  <c r="E11" i="1"/>
  <c r="E9" i="1"/>
  <c r="E15" i="1" s="1"/>
  <c r="F29" i="13" l="1"/>
  <c r="F30" i="13" s="1"/>
  <c r="C32" i="13" s="1"/>
  <c r="C33" i="13" s="1"/>
  <c r="C41" i="13" s="1"/>
  <c r="F26" i="11"/>
  <c r="F27" i="11" s="1"/>
  <c r="F27" i="10"/>
  <c r="F28" i="10" s="1"/>
  <c r="F11" i="1"/>
  <c r="F9" i="1"/>
  <c r="F15" i="1" s="1"/>
  <c r="O7" i="1"/>
  <c r="G8" i="1" s="1"/>
  <c r="O8" i="1"/>
  <c r="C29" i="11" l="1"/>
  <c r="G11" i="1"/>
  <c r="G9" i="1"/>
  <c r="G15" i="1" l="1"/>
  <c r="H15" i="1"/>
  <c r="C17" i="1" l="1"/>
  <c r="C44" i="1" s="1"/>
  <c r="F34" i="15"/>
  <c r="G34" i="15"/>
  <c r="C38" i="15" l="1"/>
  <c r="C39" i="15" l="1"/>
  <c r="C55" i="15"/>
  <c r="G54" i="15" s="1"/>
  <c r="C20" i="15" l="1"/>
  <c r="C22" i="15" s="1"/>
  <c r="C54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Muhammad Moazzam</author>
  </authors>
  <commentList>
    <comment ref="B10" authorId="0" shapeId="0" xr:uid="{26817A82-6CDC-407D-AFBB-7B1816DB0A12}">
      <text>
        <r>
          <rPr>
            <b/>
            <sz val="9"/>
            <color indexed="81"/>
            <rFont val="Tahoma"/>
            <family val="2"/>
          </rPr>
          <t>Muhammad Moazzam:</t>
        </r>
        <r>
          <rPr>
            <sz val="9"/>
            <color indexed="81"/>
            <rFont val="Tahoma"/>
            <family val="2"/>
          </rPr>
          <t xml:space="preserve">
Tax is calculated after deducting interest???
</t>
        </r>
      </text>
    </comment>
  </commentList>
</comments>
</file>

<file path=xl/sharedStrings.xml><?xml version="1.0" encoding="utf-8"?>
<sst xmlns="http://schemas.openxmlformats.org/spreadsheetml/2006/main" count="1022" uniqueCount="499">
  <si>
    <t>Tipitline Co</t>
  </si>
  <si>
    <t>All cashflows are in $'000</t>
  </si>
  <si>
    <t>Year</t>
  </si>
  <si>
    <t>Net cashflow bef marketing</t>
  </si>
  <si>
    <t>Marketing costs</t>
  </si>
  <si>
    <t>TAD W-1</t>
  </si>
  <si>
    <t>Cost</t>
  </si>
  <si>
    <t>TAD</t>
  </si>
  <si>
    <t>CV</t>
  </si>
  <si>
    <t>Taxable profit</t>
  </si>
  <si>
    <t xml:space="preserve">Tax </t>
  </si>
  <si>
    <t>Add back TAD</t>
  </si>
  <si>
    <t>W.C W-2</t>
  </si>
  <si>
    <t>W.C required</t>
  </si>
  <si>
    <t>W.C cashflows</t>
  </si>
  <si>
    <t>Inflation</t>
  </si>
  <si>
    <t>Investment</t>
  </si>
  <si>
    <t>Residual value</t>
  </si>
  <si>
    <t>Net cashflows</t>
  </si>
  <si>
    <t>Discount rate W-3</t>
  </si>
  <si>
    <t>Ke (g)</t>
  </si>
  <si>
    <t>Ke (ug)</t>
  </si>
  <si>
    <t xml:space="preserve">Kd </t>
  </si>
  <si>
    <t>Kd(1-T)</t>
  </si>
  <si>
    <t>Ve</t>
  </si>
  <si>
    <t>Vd</t>
  </si>
  <si>
    <t xml:space="preserve">Vd </t>
  </si>
  <si>
    <t>Vd(1-T)</t>
  </si>
  <si>
    <t>Base case NPV</t>
  </si>
  <si>
    <t>Present value of Tax shield</t>
  </si>
  <si>
    <t>Loan amount</t>
  </si>
  <si>
    <t>Issue cost</t>
  </si>
  <si>
    <t>Tax savings on subsidy</t>
  </si>
  <si>
    <t>s</t>
  </si>
  <si>
    <t>Subsidized rate</t>
  </si>
  <si>
    <t>Subsidy benefit</t>
  </si>
  <si>
    <t>Tax savings lost</t>
  </si>
  <si>
    <t xml:space="preserve">Net </t>
  </si>
  <si>
    <t>Rf</t>
  </si>
  <si>
    <t>NPV of Tax Shield</t>
  </si>
  <si>
    <t>APV</t>
  </si>
  <si>
    <t>TAX</t>
  </si>
  <si>
    <t>Taxable cashflow</t>
  </si>
  <si>
    <t>Tax</t>
  </si>
  <si>
    <t>Normal rate</t>
  </si>
  <si>
    <t>Prysor Co</t>
  </si>
  <si>
    <t>Cashflows are in ED'000</t>
  </si>
  <si>
    <t>Sales revenue</t>
  </si>
  <si>
    <t>Units</t>
  </si>
  <si>
    <t>Component cost W-1</t>
  </si>
  <si>
    <t>Elan</t>
  </si>
  <si>
    <t>Marteg</t>
  </si>
  <si>
    <t>Exchange rate ED/M$</t>
  </si>
  <si>
    <t>Componet/unit</t>
  </si>
  <si>
    <t>Component price in ED</t>
  </si>
  <si>
    <t>Other costs</t>
  </si>
  <si>
    <t>Taxable profits</t>
  </si>
  <si>
    <t>Cashflows</t>
  </si>
  <si>
    <t>Contribution earned</t>
  </si>
  <si>
    <t>Contribution lost</t>
  </si>
  <si>
    <t>Tax on contr earned</t>
  </si>
  <si>
    <t>Tax relief on lost contri</t>
  </si>
  <si>
    <t>Tax on operatin cashflow</t>
  </si>
  <si>
    <t>discount rate</t>
  </si>
  <si>
    <t>NPV</t>
  </si>
  <si>
    <t>Macaulay duration</t>
  </si>
  <si>
    <t>P.V of cashflows</t>
  </si>
  <si>
    <t>P.V *year</t>
  </si>
  <si>
    <t>FUBUKI Co</t>
  </si>
  <si>
    <t>Similar Co</t>
  </si>
  <si>
    <t>Ke</t>
  </si>
  <si>
    <t>T</t>
  </si>
  <si>
    <t>(1-T)</t>
  </si>
  <si>
    <t>Rate premium</t>
  </si>
  <si>
    <t>Equity Beta</t>
  </si>
  <si>
    <t>Ke=rf +B*Premium</t>
  </si>
  <si>
    <t>Asset beta</t>
  </si>
  <si>
    <t>Years</t>
  </si>
  <si>
    <t>Selling price/unit</t>
  </si>
  <si>
    <t>Selling units</t>
  </si>
  <si>
    <t>Overhead costs/unit</t>
  </si>
  <si>
    <t>Revenue</t>
  </si>
  <si>
    <t>Variable costs</t>
  </si>
  <si>
    <t>Fixed costs</t>
  </si>
  <si>
    <t xml:space="preserve">Tax  </t>
  </si>
  <si>
    <t>Working Cap W-1</t>
  </si>
  <si>
    <t>Add back tad</t>
  </si>
  <si>
    <t>Kd</t>
  </si>
  <si>
    <t>Financing required</t>
  </si>
  <si>
    <t>Issue costs</t>
  </si>
  <si>
    <t xml:space="preserve">Total financing </t>
  </si>
  <si>
    <t>Subsidized loan</t>
  </si>
  <si>
    <t>Rate</t>
  </si>
  <si>
    <t>Normal loan</t>
  </si>
  <si>
    <t>Tax loss on subsidy</t>
  </si>
  <si>
    <t>Net</t>
  </si>
  <si>
    <t>PV of tax shiel</t>
  </si>
  <si>
    <t>W-1 Base rate</t>
  </si>
  <si>
    <t>P.V</t>
  </si>
  <si>
    <t>R</t>
  </si>
  <si>
    <t>Y1 rate</t>
  </si>
  <si>
    <t>Y2 rate</t>
  </si>
  <si>
    <t>Y3 rate</t>
  </si>
  <si>
    <t>W-2</t>
  </si>
  <si>
    <t>Cost of debt each year</t>
  </si>
  <si>
    <t>AA</t>
  </si>
  <si>
    <t>BBB</t>
  </si>
  <si>
    <t>W-3</t>
  </si>
  <si>
    <t>Valuation of bond</t>
  </si>
  <si>
    <t>P.V(old rating)</t>
  </si>
  <si>
    <t>P.v  New rating</t>
  </si>
  <si>
    <t>Old value</t>
  </si>
  <si>
    <t>New value</t>
  </si>
  <si>
    <t>W-4</t>
  </si>
  <si>
    <t>Yield to maturity</t>
  </si>
  <si>
    <t>Old yield</t>
  </si>
  <si>
    <t>New yield</t>
  </si>
  <si>
    <t>Tax relief on interest</t>
  </si>
  <si>
    <t>Riviere Co</t>
  </si>
  <si>
    <t>After tax cashflows</t>
  </si>
  <si>
    <t>Discount rate</t>
  </si>
  <si>
    <t>IRR</t>
  </si>
  <si>
    <t>MIRR</t>
  </si>
  <si>
    <t>95% confidence</t>
  </si>
  <si>
    <t>90% confidence</t>
  </si>
  <si>
    <t>Confidence interval</t>
  </si>
  <si>
    <t>Std devi</t>
  </si>
  <si>
    <t>VAR</t>
  </si>
  <si>
    <t>5year P.V VAR</t>
  </si>
  <si>
    <t>AMBERLE CO</t>
  </si>
  <si>
    <t>Realisable value</t>
  </si>
  <si>
    <t>W.C W-1</t>
  </si>
  <si>
    <t>inflation</t>
  </si>
  <si>
    <t>Ba</t>
  </si>
  <si>
    <t>Rm</t>
  </si>
  <si>
    <t>ke (ug)</t>
  </si>
  <si>
    <t>Tax relief on interest W-2</t>
  </si>
  <si>
    <t>Bank loan Schedule</t>
  </si>
  <si>
    <t>O/B</t>
  </si>
  <si>
    <t>Interest</t>
  </si>
  <si>
    <t>Installment</t>
  </si>
  <si>
    <t>C/B</t>
  </si>
  <si>
    <t>Annuity factor</t>
  </si>
  <si>
    <t>Tax relief on bank loan</t>
  </si>
  <si>
    <t>Tax relief on subsidy loan</t>
  </si>
  <si>
    <t>Total</t>
  </si>
  <si>
    <t>P.V of tax shield</t>
  </si>
  <si>
    <t>Disount rate</t>
  </si>
  <si>
    <t>Value of investment</t>
  </si>
  <si>
    <t>MoonStar Co</t>
  </si>
  <si>
    <t>Total Collateral value</t>
  </si>
  <si>
    <t>A-rated</t>
  </si>
  <si>
    <t>B-rated</t>
  </si>
  <si>
    <t>C-rated</t>
  </si>
  <si>
    <t>Subordinated certifcates</t>
  </si>
  <si>
    <t>% of collateral</t>
  </si>
  <si>
    <t>% return</t>
  </si>
  <si>
    <t>Payments</t>
  </si>
  <si>
    <t>Income</t>
  </si>
  <si>
    <t>Securitization costs</t>
  </si>
  <si>
    <t>Lower Income</t>
  </si>
  <si>
    <t>Subordinated certificates</t>
  </si>
  <si>
    <t>Total income</t>
  </si>
  <si>
    <t>Total payments</t>
  </si>
  <si>
    <t>Valuation of Coompany</t>
  </si>
  <si>
    <t>Kerren Co</t>
  </si>
  <si>
    <t>Earnings</t>
  </si>
  <si>
    <t>No. of shares</t>
  </si>
  <si>
    <t>P/E ratio</t>
  </si>
  <si>
    <t>Dante Co</t>
  </si>
  <si>
    <t>M.V</t>
  </si>
  <si>
    <t>Post Acq value</t>
  </si>
  <si>
    <t>Gain for Kerren Co</t>
  </si>
  <si>
    <t>less: price</t>
  </si>
  <si>
    <t>Cash offer</t>
  </si>
  <si>
    <t>Share exchange</t>
  </si>
  <si>
    <t>Gain</t>
  </si>
  <si>
    <t>Gain %</t>
  </si>
  <si>
    <t>Gain for Danton Co</t>
  </si>
  <si>
    <t>Price</t>
  </si>
  <si>
    <t>less Value of Denton Co</t>
  </si>
  <si>
    <t>Value of Danton Co(parent)</t>
  </si>
  <si>
    <t>Price offered per share</t>
  </si>
  <si>
    <t>Post acquisiton price</t>
  </si>
  <si>
    <t>Share offer</t>
  </si>
  <si>
    <t>chi</t>
  </si>
  <si>
    <t>Value of Power Co</t>
  </si>
  <si>
    <t>Share Price</t>
  </si>
  <si>
    <t>Shares</t>
  </si>
  <si>
    <t>New shares issued</t>
  </si>
  <si>
    <t>Gain for Mavers Co</t>
  </si>
  <si>
    <t>%</t>
  </si>
  <si>
    <t>Post acquistion</t>
  </si>
  <si>
    <t>Gain for Power Co</t>
  </si>
  <si>
    <t>Laguna</t>
  </si>
  <si>
    <t>Venez</t>
  </si>
  <si>
    <t>Synergies</t>
  </si>
  <si>
    <t>Premium</t>
  </si>
  <si>
    <t>Equity value of Foshoro CO</t>
  </si>
  <si>
    <t>PBIT</t>
  </si>
  <si>
    <t>less: tax</t>
  </si>
  <si>
    <t>Add non cash cost</t>
  </si>
  <si>
    <t>less: Additional investment</t>
  </si>
  <si>
    <t>Current free cashflows</t>
  </si>
  <si>
    <t>growth rate</t>
  </si>
  <si>
    <t>Value of business</t>
  </si>
  <si>
    <t>Value of equity</t>
  </si>
  <si>
    <t>Post acquisition equity value</t>
  </si>
  <si>
    <t>Sales</t>
  </si>
  <si>
    <t>Operating profit</t>
  </si>
  <si>
    <t>Additional investment</t>
  </si>
  <si>
    <t>Free cashflows</t>
  </si>
  <si>
    <t>Combined cost of capital</t>
  </si>
  <si>
    <t>Chikepe</t>
  </si>
  <si>
    <t>Foshoro</t>
  </si>
  <si>
    <t>Combined</t>
  </si>
  <si>
    <t>Proportion</t>
  </si>
  <si>
    <t>Weighted average asset beta</t>
  </si>
  <si>
    <t>Be</t>
  </si>
  <si>
    <t>WACC</t>
  </si>
  <si>
    <t>Terminal value</t>
  </si>
  <si>
    <t>Total cashflows</t>
  </si>
  <si>
    <t>Value of Fodder Co</t>
  </si>
  <si>
    <t>W-1</t>
  </si>
  <si>
    <t>g</t>
  </si>
  <si>
    <t>Rpremium</t>
  </si>
  <si>
    <t>Value of Business</t>
  </si>
  <si>
    <t>Post acquisiton value</t>
  </si>
  <si>
    <t xml:space="preserve">Pursuit </t>
  </si>
  <si>
    <t>Fodder</t>
  </si>
  <si>
    <t>MV</t>
  </si>
  <si>
    <t xml:space="preserve">Post acq  </t>
  </si>
  <si>
    <t>Cash</t>
  </si>
  <si>
    <t>Debt</t>
  </si>
  <si>
    <t>Debt obligations</t>
  </si>
  <si>
    <t>Cashflow forecast</t>
  </si>
  <si>
    <t>Gross profit</t>
  </si>
  <si>
    <t>Other operating costs</t>
  </si>
  <si>
    <t>Other operating costs W1</t>
  </si>
  <si>
    <t>Depreciation W2</t>
  </si>
  <si>
    <t>Additions</t>
  </si>
  <si>
    <t>Acc dep</t>
  </si>
  <si>
    <t>C.V</t>
  </si>
  <si>
    <t>Gross NCA</t>
  </si>
  <si>
    <t xml:space="preserve">Dep  </t>
  </si>
  <si>
    <t>Taxation</t>
  </si>
  <si>
    <t>Add depreciation</t>
  </si>
  <si>
    <t>Incremental working cap W-3</t>
  </si>
  <si>
    <t>W.C</t>
  </si>
  <si>
    <t>Free cashflows to firm</t>
  </si>
  <si>
    <t>less interest paid</t>
  </si>
  <si>
    <t>Free cashflow to equity</t>
  </si>
  <si>
    <t>r</t>
  </si>
  <si>
    <t>???</t>
  </si>
  <si>
    <t>Opao Co</t>
  </si>
  <si>
    <t>Tai Co</t>
  </si>
  <si>
    <t>add back TAD non-cash</t>
  </si>
  <si>
    <t>Investment in NCA, W.C</t>
  </si>
  <si>
    <t>Less debt</t>
  </si>
  <si>
    <t>Post Acquisition Co</t>
  </si>
  <si>
    <t>Equity value</t>
  </si>
  <si>
    <t>Value of Tai Co (Parent)</t>
  </si>
  <si>
    <t>Share for share</t>
  </si>
  <si>
    <t>Price W2</t>
  </si>
  <si>
    <t>w2</t>
  </si>
  <si>
    <t>Synergy value</t>
  </si>
  <si>
    <t xml:space="preserve">Value of Tai Co </t>
  </si>
  <si>
    <t>Mixed offer</t>
  </si>
  <si>
    <t>Additional Opao co</t>
  </si>
  <si>
    <t>Opao Co post acq</t>
  </si>
  <si>
    <t>Share price</t>
  </si>
  <si>
    <t>Pre acq price</t>
  </si>
  <si>
    <t>Tao Co value after all</t>
  </si>
  <si>
    <t>Scenario 1</t>
  </si>
  <si>
    <t>Total net assets</t>
  </si>
  <si>
    <t>Net assets of Wood craft business</t>
  </si>
  <si>
    <t>Scenario 2</t>
  </si>
  <si>
    <t>Cashinflow</t>
  </si>
  <si>
    <t>After tax profits</t>
  </si>
  <si>
    <t>Additonal investment</t>
  </si>
  <si>
    <t>Add back depreciation</t>
  </si>
  <si>
    <t>Scenario 3</t>
  </si>
  <si>
    <t>Depreciation</t>
  </si>
  <si>
    <t>Post Acquisition WACC</t>
  </si>
  <si>
    <t>Joshua Co</t>
  </si>
  <si>
    <t>Fraser Co</t>
  </si>
  <si>
    <t>Post acqu</t>
  </si>
  <si>
    <t>% prop</t>
  </si>
  <si>
    <t>Equity</t>
  </si>
  <si>
    <t>R prem</t>
  </si>
  <si>
    <t>ii)</t>
  </si>
  <si>
    <t>Gain to Joshua Shareholders</t>
  </si>
  <si>
    <t>Value of Fraser Co</t>
  </si>
  <si>
    <t>Posts Acq cashflows</t>
  </si>
  <si>
    <t>M.V of equity of Joshua Co</t>
  </si>
  <si>
    <t>Price W1</t>
  </si>
  <si>
    <t>Fraser Co share</t>
  </si>
  <si>
    <t>exchange ratio</t>
  </si>
  <si>
    <t>Joshua co</t>
  </si>
  <si>
    <t>M.V of joshua Co</t>
  </si>
  <si>
    <t>Gain%</t>
  </si>
  <si>
    <t>Training costs</t>
  </si>
  <si>
    <t xml:space="preserve">Variable cost  </t>
  </si>
  <si>
    <t>Variable cost/unit</t>
  </si>
  <si>
    <t>Selling price per unit</t>
  </si>
  <si>
    <t>Drones sold</t>
  </si>
  <si>
    <t>Uwa Project</t>
  </si>
  <si>
    <t>Net cashflow</t>
  </si>
  <si>
    <t>rate</t>
  </si>
  <si>
    <t>Honua Co offer</t>
  </si>
  <si>
    <t>Cashflows from year 3</t>
  </si>
  <si>
    <t>year</t>
  </si>
  <si>
    <t>Present values</t>
  </si>
  <si>
    <t>Value using real options</t>
  </si>
  <si>
    <t>Net loss</t>
  </si>
  <si>
    <t>Jigu Project</t>
  </si>
  <si>
    <t>When calculating call option using BOSP model the asset value is taken as the value of</t>
  </si>
  <si>
    <t>the underlying asset for which the call option is calculated</t>
  </si>
  <si>
    <t>For a project the asset value is the present value of the future cashflows till the end of</t>
  </si>
  <si>
    <t>the project</t>
  </si>
  <si>
    <t>Option Hedging</t>
  </si>
  <si>
    <t>No. of contracts</t>
  </si>
  <si>
    <t>Transaction amount</t>
  </si>
  <si>
    <t>Loan period</t>
  </si>
  <si>
    <t>Contract size</t>
  </si>
  <si>
    <t>Estimated closing price of future</t>
  </si>
  <si>
    <t>Opening</t>
  </si>
  <si>
    <t>Closing</t>
  </si>
  <si>
    <t>Spot</t>
  </si>
  <si>
    <t>Future</t>
  </si>
  <si>
    <t>Basis</t>
  </si>
  <si>
    <t>Exercise price(put)</t>
  </si>
  <si>
    <t>Closing price future</t>
  </si>
  <si>
    <t>Total gain</t>
  </si>
  <si>
    <t>Net outcome</t>
  </si>
  <si>
    <t>FRA rate 3-7</t>
  </si>
  <si>
    <t>Type</t>
  </si>
  <si>
    <t>Expiry</t>
  </si>
  <si>
    <t>March</t>
  </si>
  <si>
    <t>Exercise price</t>
  </si>
  <si>
    <t>Put or Sell</t>
  </si>
  <si>
    <t>Net outcome using futures</t>
  </si>
  <si>
    <t>Outcome in future</t>
  </si>
  <si>
    <t>Sell</t>
  </si>
  <si>
    <t>Buy</t>
  </si>
  <si>
    <t>Interest payment</t>
  </si>
  <si>
    <t>W-5</t>
  </si>
  <si>
    <t>Net outcome using options</t>
  </si>
  <si>
    <t>Exercise price (Put)</t>
  </si>
  <si>
    <t>Closing price (call)</t>
  </si>
  <si>
    <t>Counterparty</t>
  </si>
  <si>
    <t>Could</t>
  </si>
  <si>
    <t>Libor+1.5%</t>
  </si>
  <si>
    <t>Effective rate</t>
  </si>
  <si>
    <t>Net interest payment</t>
  </si>
  <si>
    <t>Lurgshall CO</t>
  </si>
  <si>
    <t>Floating</t>
  </si>
  <si>
    <t>Fixed rate</t>
  </si>
  <si>
    <t>Libor+0.5%</t>
  </si>
  <si>
    <t>Difference</t>
  </si>
  <si>
    <t>Borrows at</t>
  </si>
  <si>
    <t>libor+0.5%</t>
  </si>
  <si>
    <t>Lurgshall pays</t>
  </si>
  <si>
    <t>Counterparty pays</t>
  </si>
  <si>
    <t>Put option</t>
  </si>
  <si>
    <t>December</t>
  </si>
  <si>
    <t>Exercise</t>
  </si>
  <si>
    <t>Rise</t>
  </si>
  <si>
    <t>Fall</t>
  </si>
  <si>
    <t>Gain/loss</t>
  </si>
  <si>
    <t>Loss</t>
  </si>
  <si>
    <t>No</t>
  </si>
  <si>
    <t>income</t>
  </si>
  <si>
    <t>Outcome using option</t>
  </si>
  <si>
    <t>Net outcome in Collars</t>
  </si>
  <si>
    <t>Outcome in futures</t>
  </si>
  <si>
    <t>Exercise price(call)</t>
  </si>
  <si>
    <t>gain/loss</t>
  </si>
  <si>
    <t xml:space="preserve">No </t>
  </si>
  <si>
    <t>Yes</t>
  </si>
  <si>
    <t>Company</t>
  </si>
  <si>
    <t>Base+0.5%</t>
  </si>
  <si>
    <t>base+1.3%</t>
  </si>
  <si>
    <t>base+5.3%</t>
  </si>
  <si>
    <t>base+5.9%</t>
  </si>
  <si>
    <t>Want</t>
  </si>
  <si>
    <t>LIBOR+0.5%</t>
  </si>
  <si>
    <t>LIBOR+1.3%</t>
  </si>
  <si>
    <t>libor+5.3%</t>
  </si>
  <si>
    <t>libor+5.9%</t>
  </si>
  <si>
    <t>Benefit</t>
  </si>
  <si>
    <t>Net(ex-fee)</t>
  </si>
  <si>
    <t>libor+1%</t>
  </si>
  <si>
    <t>Swap terms</t>
  </si>
  <si>
    <t>Take Loan</t>
  </si>
  <si>
    <t>Company charge to Counter party</t>
  </si>
  <si>
    <t>Counterparty charge to company</t>
  </si>
  <si>
    <t>Receive LIBOR</t>
  </si>
  <si>
    <t>Pay LIBOR</t>
  </si>
  <si>
    <t>Bank fee</t>
  </si>
  <si>
    <t>Forward Rate Hedge:</t>
  </si>
  <si>
    <t>Forward rate</t>
  </si>
  <si>
    <t>Interest income</t>
  </si>
  <si>
    <t>Interest received</t>
  </si>
  <si>
    <t>Settled by bank</t>
  </si>
  <si>
    <t>closing spot rate</t>
  </si>
  <si>
    <t>Setup</t>
  </si>
  <si>
    <t>Opening Buy</t>
  </si>
  <si>
    <t>Closing sell</t>
  </si>
  <si>
    <t xml:space="preserve">Interest receipt </t>
  </si>
  <si>
    <t>Closing price sell</t>
  </si>
  <si>
    <t>Co currency</t>
  </si>
  <si>
    <t>CHF</t>
  </si>
  <si>
    <t>Market currency</t>
  </si>
  <si>
    <t>$</t>
  </si>
  <si>
    <t>Round off</t>
  </si>
  <si>
    <t>Estimated closing price of future:</t>
  </si>
  <si>
    <t xml:space="preserve"> Closing</t>
  </si>
  <si>
    <t>Netoutcome using futures</t>
  </si>
  <si>
    <t>Opening price (sell)</t>
  </si>
  <si>
    <t>Closing price (buy)</t>
  </si>
  <si>
    <t>Spot transaction amount</t>
  </si>
  <si>
    <t>Outcome using options future</t>
  </si>
  <si>
    <t>Exercise price (Sell)</t>
  </si>
  <si>
    <t>Total loss</t>
  </si>
  <si>
    <t>W-6</t>
  </si>
  <si>
    <t>FRA hedge</t>
  </si>
  <si>
    <t>Net payment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</si>
  <si>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</si>
  <si>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Exercise price of 1.06</t>
  </si>
  <si>
    <t>Exercise price of 1.07</t>
  </si>
  <si>
    <t>libor+0.4%</t>
  </si>
  <si>
    <t>Libor+0.8%</t>
  </si>
  <si>
    <t>libor+3%</t>
  </si>
  <si>
    <t>libor+4.2%</t>
  </si>
  <si>
    <t>Swap Terms</t>
  </si>
  <si>
    <t>Company charge to counterparty</t>
  </si>
  <si>
    <t>Counter party charge to company</t>
  </si>
  <si>
    <t>Net (ex-fee)</t>
  </si>
  <si>
    <t>libor+0.2%</t>
  </si>
  <si>
    <t>Libor reieve</t>
  </si>
  <si>
    <t>Libor payment</t>
  </si>
  <si>
    <t>libor+0.8%</t>
  </si>
  <si>
    <t>Borrow loan</t>
  </si>
  <si>
    <t>Net result</t>
  </si>
  <si>
    <t>Rate without swarp</t>
  </si>
  <si>
    <t>libor-0.4%</t>
  </si>
  <si>
    <t>24m Loan</t>
  </si>
  <si>
    <t>June</t>
  </si>
  <si>
    <t>contract size</t>
  </si>
  <si>
    <t>Estimate price of future</t>
  </si>
  <si>
    <t>Outcome using futures</t>
  </si>
  <si>
    <t>Opening price (Sell)</t>
  </si>
  <si>
    <t>exercise price</t>
  </si>
  <si>
    <t>Exercise price (buy)</t>
  </si>
  <si>
    <t>Closing price (sell)</t>
  </si>
  <si>
    <t>Multinational Netting</t>
  </si>
  <si>
    <t>Armstrong</t>
  </si>
  <si>
    <t>Horan</t>
  </si>
  <si>
    <t>Massie</t>
  </si>
  <si>
    <t>Giffen</t>
  </si>
  <si>
    <t>Receivables</t>
  </si>
  <si>
    <t>Payables</t>
  </si>
  <si>
    <t>Armstrong owes the largest amount and will be pay 3.01m to Giffen with smallest receivable</t>
  </si>
  <si>
    <t>Then Armstrong and Horan will pay their remaining balance to Massie which will then offset</t>
  </si>
  <si>
    <t>Call option</t>
  </si>
  <si>
    <t xml:space="preserve">Spot </t>
  </si>
  <si>
    <t>Decrease of 0.5%</t>
  </si>
  <si>
    <t>Increase of 0.5%</t>
  </si>
  <si>
    <t>Exercise price (Buy)</t>
  </si>
  <si>
    <t>Total Gain</t>
  </si>
  <si>
    <t>Net income</t>
  </si>
  <si>
    <t>Mortexa Co</t>
  </si>
  <si>
    <t>Yekkon Co</t>
  </si>
  <si>
    <t>No. of share</t>
  </si>
  <si>
    <t>M.V of company</t>
  </si>
  <si>
    <t>Post Acquisition value</t>
  </si>
  <si>
    <t>Additional value</t>
  </si>
  <si>
    <t>Gain for Parent company</t>
  </si>
  <si>
    <t>Value of Target company (parent)</t>
  </si>
  <si>
    <t>Acquisition price W-1</t>
  </si>
  <si>
    <t>Post acquistion shares</t>
  </si>
  <si>
    <t>Gain for Target company</t>
  </si>
  <si>
    <t>Value of company</t>
  </si>
  <si>
    <t>Value of Fraser Co (parent)</t>
  </si>
  <si>
    <t>Gain for Target Company</t>
  </si>
  <si>
    <t>Total shares</t>
  </si>
  <si>
    <t>Garnod Co</t>
  </si>
  <si>
    <t>Pilsur Co</t>
  </si>
  <si>
    <t>Minimum price for Pilsur Co shareholders</t>
  </si>
  <si>
    <t>Post tax operating cashflows</t>
  </si>
  <si>
    <t>Gain to Propleis co shareholders</t>
  </si>
  <si>
    <t>Value of Adictan Co (parent)</t>
  </si>
  <si>
    <t>Selorne Co</t>
  </si>
  <si>
    <t>Chawon</t>
  </si>
  <si>
    <t>Combined company</t>
  </si>
  <si>
    <t>Free cashflow</t>
  </si>
  <si>
    <t>Gain for Parent compnay</t>
  </si>
  <si>
    <t>Value of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</si>
</sst>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%"/>
    <numFmt numFmtId="165" formatCode="0.0000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43" fontId="0" fillId="0" borderId="0" xfId="1" applyFont="1"/>
    <xf numFmtId="9" fontId="0" fillId="0" borderId="0" xfId="0" applyNumberFormat="1"/>
    <xf numFmtId="10" fontId="0" fillId="0" borderId="0" xfId="0" applyNumberFormat="1"/>
    <xf numFmtId="43" fontId="0" fillId="0" borderId="0" xfId="0" applyNumberFormat="1"/>
    <xf numFmtId="2" fontId="0" fillId="0" borderId="0" xfId="0" applyNumberFormat="1"/>
    <xf numFmtId="10" fontId="0" fillId="0" borderId="0" xfId="1" applyNumberFormat="1" applyFont="1"/>
    <xf numFmtId="2" fontId="0" fillId="0" borderId="0" xfId="1" applyNumberFormat="1" applyFont="1"/>
    <xf numFmtId="164" fontId="0" fillId="0" borderId="0" xfId="0" applyNumberFormat="1"/>
    <xf numFmtId="2" fontId="2" fillId="0" borderId="0" xfId="0" applyNumberFormat="1" applyFont="1"/>
    <xf numFmtId="10" fontId="0" fillId="0" borderId="0" xfId="2" applyNumberFormat="1" applyFont="1"/>
    <xf numFmtId="10" fontId="2" fillId="0" borderId="0" xfId="0" applyNumberFormat="1" applyFont="1"/>
    <xf numFmtId="0" fontId="4" fillId="0" borderId="0" xfId="0" applyFont="1"/>
    <xf numFmtId="165" fontId="0" fillId="0" borderId="0" xfId="0" applyNumberFormat="1"/>
    <xf numFmtId="20" fontId="0" fillId="0" borderId="0" xfId="0" applyNumberFormat="1"/>
    <xf numFmtId="0" fontId="0" fillId="0" borderId="0" xfId="0" applyAlignment="1">
      <alignment horizontal="right"/>
    </xf>
    <xf numFmtId="0" fontId="2" fillId="0" borderId="0" xfId="0" applyFont="1" applyAlignment="1">
      <alignment vertical="center"/>
    </xf>
    <xf numFmtId="2" fontId="0" fillId="2" borderId="0" xfId="0" applyNumberFormat="1" applyFill="1"/>
    <xf numFmtId="43" fontId="2" fillId="0" borderId="0" xfId="0" applyNumberFormat="1" applyFont="1"/>
    <xf numFmtId="0" fontId="0" fillId="3" borderId="0" xfId="0" applyFill="1"/>
    <xf numFmtId="43" fontId="2" fillId="0" borderId="0" xfId="1" applyFont="1"/>
    <xf numFmtId="0" fontId="7" fillId="0" borderId="0" xfId="0" applyFont="1"/>
    <xf numFmtId="0" fontId="0" fillId="4" borderId="0" xfId="0" applyFill="1"/>
    <xf numFmtId="0" fontId="0" fillId="0" borderId="0" xfId="0" applyAlignment="1">
      <alignment horizontal="center" wrapText="1"/>
    </xf>
    <xf numFmtId="0" fontId="0" fillId="0" borderId="0" xfId="0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44"/>
  <sheetViews>
    <sheetView topLeftCell="A26" zoomScale="138" zoomScaleNormal="145" workbookViewId="0">
      <selection activeCell="B21" sqref="B21"/>
    </sheetView>
  </sheetViews>
  <sheetFormatPr defaultRowHeight="15.05" x14ac:dyDescent="0.3"/>
  <cols>
    <col min="2" max="2" width="22.5546875" bestFit="1" customWidth="1"/>
    <col min="3" max="3" width="11" bestFit="1" customWidth="1"/>
    <col min="4" max="7" width="10" bestFit="1" customWidth="1"/>
    <col min="10" max="10" width="12.109375" bestFit="1" customWidth="1"/>
  </cols>
  <sheetData>
    <row r="2" spans="2:16" ht="15.75" x14ac:dyDescent="0.3">
      <c r="B2" s="2" t="s">
        <v>0</v>
      </c>
    </row>
    <row r="3" spans="2:16" x14ac:dyDescent="0.3">
      <c r="J3" t="s">
        <v>15</v>
      </c>
      <c r="L3" s="5">
        <v>0.08</v>
      </c>
      <c r="M3" s="5">
        <v>0.06</v>
      </c>
      <c r="N3" s="5">
        <v>0.05</v>
      </c>
      <c r="O3" s="5">
        <v>0.04</v>
      </c>
    </row>
    <row r="4" spans="2:16" x14ac:dyDescent="0.3">
      <c r="B4" t="s">
        <v>1</v>
      </c>
    </row>
    <row r="5" spans="2:16" x14ac:dyDescent="0.3">
      <c r="B5" s="1" t="s">
        <v>2</v>
      </c>
      <c r="C5" s="1">
        <v>0</v>
      </c>
      <c r="D5" s="1">
        <v>1</v>
      </c>
      <c r="E5" s="1">
        <v>2</v>
      </c>
      <c r="F5" s="1">
        <v>3</v>
      </c>
      <c r="G5" s="1">
        <v>4</v>
      </c>
      <c r="H5" s="1">
        <v>5</v>
      </c>
      <c r="J5" s="1" t="s">
        <v>5</v>
      </c>
      <c r="K5" s="1">
        <v>0</v>
      </c>
      <c r="L5" s="1">
        <v>1</v>
      </c>
      <c r="M5" s="1">
        <v>2</v>
      </c>
      <c r="N5" s="1">
        <v>3</v>
      </c>
      <c r="O5" s="1">
        <v>4</v>
      </c>
      <c r="P5" s="1">
        <v>5</v>
      </c>
    </row>
    <row r="6" spans="2:16" x14ac:dyDescent="0.3">
      <c r="B6" t="s">
        <v>3</v>
      </c>
      <c r="C6" s="3"/>
      <c r="D6" s="3">
        <v>2000</v>
      </c>
      <c r="E6" s="3">
        <v>14500</v>
      </c>
      <c r="F6" s="3">
        <v>15225</v>
      </c>
      <c r="G6" s="3">
        <v>15834</v>
      </c>
      <c r="J6" t="s">
        <v>6</v>
      </c>
      <c r="L6">
        <v>30600</v>
      </c>
      <c r="M6">
        <f>L8</f>
        <v>22950</v>
      </c>
      <c r="N6">
        <f t="shared" ref="N6:O6" si="0">M8</f>
        <v>17212.5</v>
      </c>
      <c r="O6">
        <f t="shared" si="0"/>
        <v>12909.375</v>
      </c>
    </row>
    <row r="7" spans="2:16" x14ac:dyDescent="0.3">
      <c r="B7" t="s">
        <v>4</v>
      </c>
      <c r="C7" s="3"/>
      <c r="D7" s="3">
        <v>-9000</v>
      </c>
      <c r="E7" s="3">
        <v>-2000</v>
      </c>
      <c r="F7" s="3">
        <v>-2000</v>
      </c>
      <c r="G7" s="3">
        <v>-2000</v>
      </c>
      <c r="J7" t="s">
        <v>7</v>
      </c>
      <c r="L7">
        <f>L6*25%</f>
        <v>7650</v>
      </c>
      <c r="M7">
        <f t="shared" ref="M7:N7" si="1">M6*25%</f>
        <v>5737.5</v>
      </c>
      <c r="N7">
        <f t="shared" si="1"/>
        <v>4303.125</v>
      </c>
      <c r="O7">
        <f>O6-13500</f>
        <v>-590.625</v>
      </c>
    </row>
    <row r="8" spans="2:16" x14ac:dyDescent="0.3">
      <c r="B8" t="s">
        <v>5</v>
      </c>
      <c r="C8" s="3"/>
      <c r="D8" s="3">
        <f>-L7</f>
        <v>-7650</v>
      </c>
      <c r="E8" s="3">
        <f t="shared" ref="E8:G8" si="2">-M7</f>
        <v>-5737.5</v>
      </c>
      <c r="F8" s="3">
        <f t="shared" si="2"/>
        <v>-4303.125</v>
      </c>
      <c r="G8" s="3">
        <f t="shared" si="2"/>
        <v>590.625</v>
      </c>
      <c r="J8" t="s">
        <v>8</v>
      </c>
      <c r="L8">
        <f>L6-L7</f>
        <v>22950</v>
      </c>
      <c r="M8">
        <f t="shared" ref="M8:O8" si="3">M6-M7</f>
        <v>17212.5</v>
      </c>
      <c r="N8">
        <f t="shared" si="3"/>
        <v>12909.375</v>
      </c>
      <c r="O8">
        <f t="shared" si="3"/>
        <v>13500</v>
      </c>
    </row>
    <row r="9" spans="2:16" x14ac:dyDescent="0.3">
      <c r="B9" t="s">
        <v>9</v>
      </c>
      <c r="C9" s="3"/>
      <c r="D9" s="3">
        <f>SUM(D6:D8)</f>
        <v>-14650</v>
      </c>
      <c r="E9" s="3">
        <f t="shared" ref="E9:G9" si="4">SUM(E6:E8)</f>
        <v>6762.5</v>
      </c>
      <c r="F9" s="3">
        <f t="shared" si="4"/>
        <v>8921.875</v>
      </c>
      <c r="G9" s="3">
        <f t="shared" si="4"/>
        <v>14424.625</v>
      </c>
    </row>
    <row r="10" spans="2:16" x14ac:dyDescent="0.3">
      <c r="B10" t="s">
        <v>10</v>
      </c>
      <c r="C10" s="3"/>
      <c r="D10" s="3">
        <f>L17</f>
        <v>0</v>
      </c>
      <c r="E10" s="3">
        <f t="shared" ref="E10:F10" si="5">M17</f>
        <v>0</v>
      </c>
      <c r="F10" s="3">
        <f t="shared" si="5"/>
        <v>0</v>
      </c>
      <c r="G10" s="3">
        <f>-O17</f>
        <v>-310.3125</v>
      </c>
      <c r="H10" s="3">
        <f>-P17</f>
        <v>-4327.3874999999998</v>
      </c>
      <c r="J10" s="1" t="s">
        <v>12</v>
      </c>
    </row>
    <row r="11" spans="2:16" x14ac:dyDescent="0.3">
      <c r="B11" t="s">
        <v>11</v>
      </c>
      <c r="C11" s="3"/>
      <c r="D11" s="3">
        <f>-D8</f>
        <v>7650</v>
      </c>
      <c r="E11" s="3">
        <f t="shared" ref="E11:G11" si="6">-E8</f>
        <v>5737.5</v>
      </c>
      <c r="F11" s="3">
        <f t="shared" si="6"/>
        <v>4303.125</v>
      </c>
      <c r="G11" s="3">
        <f t="shared" si="6"/>
        <v>-590.625</v>
      </c>
      <c r="J11" t="s">
        <v>13</v>
      </c>
      <c r="K11">
        <v>3000</v>
      </c>
      <c r="L11">
        <f>K11*(1+L3)</f>
        <v>3240</v>
      </c>
      <c r="M11">
        <f t="shared" ref="M11:N11" si="7">L11*(1+M3)</f>
        <v>3434.4</v>
      </c>
      <c r="N11">
        <f t="shared" si="7"/>
        <v>3606.1200000000003</v>
      </c>
      <c r="O11">
        <f>N11</f>
        <v>3606.1200000000003</v>
      </c>
    </row>
    <row r="12" spans="2:16" x14ac:dyDescent="0.3">
      <c r="B12" t="s">
        <v>12</v>
      </c>
      <c r="C12" s="3">
        <f>K12</f>
        <v>-3000</v>
      </c>
      <c r="D12" s="3">
        <f t="shared" ref="D12:G12" si="8">L12</f>
        <v>-240</v>
      </c>
      <c r="E12" s="3">
        <f t="shared" si="8"/>
        <v>-194.40000000000009</v>
      </c>
      <c r="F12" s="3">
        <f t="shared" si="8"/>
        <v>-171.72000000000025</v>
      </c>
      <c r="G12" s="3">
        <f t="shared" si="8"/>
        <v>3606.1200000000003</v>
      </c>
      <c r="J12" t="s">
        <v>14</v>
      </c>
      <c r="K12">
        <f>-K11</f>
        <v>-3000</v>
      </c>
      <c r="L12">
        <f>K11-L11</f>
        <v>-240</v>
      </c>
      <c r="M12">
        <f t="shared" ref="M12:N12" si="9">L11-M11</f>
        <v>-194.40000000000009</v>
      </c>
      <c r="N12">
        <f t="shared" si="9"/>
        <v>-171.72000000000025</v>
      </c>
      <c r="O12">
        <f>O11</f>
        <v>3606.1200000000003</v>
      </c>
    </row>
    <row r="13" spans="2:16" x14ac:dyDescent="0.3">
      <c r="B13" t="s">
        <v>16</v>
      </c>
      <c r="C13" s="3">
        <v>-30600</v>
      </c>
      <c r="D13" s="3"/>
      <c r="E13" s="3"/>
      <c r="F13" s="3"/>
      <c r="G13" s="3"/>
    </row>
    <row r="14" spans="2:16" x14ac:dyDescent="0.3">
      <c r="B14" t="s">
        <v>17</v>
      </c>
      <c r="C14" s="3"/>
      <c r="D14" s="3"/>
      <c r="E14" s="3"/>
      <c r="F14" s="3"/>
      <c r="G14" s="3">
        <v>13500</v>
      </c>
      <c r="J14" s="1" t="s">
        <v>41</v>
      </c>
    </row>
    <row r="15" spans="2:16" x14ac:dyDescent="0.3">
      <c r="B15" t="s">
        <v>18</v>
      </c>
      <c r="C15" s="6">
        <f t="shared" ref="C15:H15" si="10">SUM(C9:C14)</f>
        <v>-33600</v>
      </c>
      <c r="D15" s="6">
        <f t="shared" si="10"/>
        <v>-7240</v>
      </c>
      <c r="E15" s="6">
        <f t="shared" si="10"/>
        <v>12305.6</v>
      </c>
      <c r="F15" s="6">
        <f t="shared" si="10"/>
        <v>13053.279999999999</v>
      </c>
      <c r="G15" s="6">
        <f t="shared" si="10"/>
        <v>30629.807499999999</v>
      </c>
      <c r="H15" s="6">
        <f t="shared" si="10"/>
        <v>-4327.3874999999998</v>
      </c>
      <c r="J15" t="s">
        <v>9</v>
      </c>
      <c r="L15">
        <v>-14650</v>
      </c>
      <c r="M15">
        <v>6762.5</v>
      </c>
      <c r="N15">
        <v>8921.875</v>
      </c>
      <c r="O15">
        <v>14424.625</v>
      </c>
    </row>
    <row r="16" spans="2:16" x14ac:dyDescent="0.3">
      <c r="B16" t="s">
        <v>19</v>
      </c>
      <c r="C16" s="4">
        <f>C20</f>
        <v>0.09</v>
      </c>
      <c r="J16" t="s">
        <v>42</v>
      </c>
      <c r="M16">
        <f>L15</f>
        <v>-14650</v>
      </c>
      <c r="N16">
        <f>M16+M15</f>
        <v>-7887.5</v>
      </c>
      <c r="O16">
        <f t="shared" ref="O16" si="11">N16+N15</f>
        <v>1034.375</v>
      </c>
      <c r="P16">
        <f>O15</f>
        <v>14424.625</v>
      </c>
    </row>
    <row r="17" spans="2:16" x14ac:dyDescent="0.3">
      <c r="B17" t="s">
        <v>28</v>
      </c>
      <c r="C17" s="3">
        <f>NPV(C16,D15:H15)+C15</f>
        <v>-918.87444696121747</v>
      </c>
      <c r="J17" t="s">
        <v>43</v>
      </c>
      <c r="O17">
        <f>O16*30%</f>
        <v>310.3125</v>
      </c>
      <c r="P17">
        <f>P16*30%</f>
        <v>4327.3874999999998</v>
      </c>
    </row>
    <row r="19" spans="2:16" x14ac:dyDescent="0.3">
      <c r="B19" s="1" t="s">
        <v>19</v>
      </c>
    </row>
    <row r="20" spans="2:16" x14ac:dyDescent="0.3">
      <c r="B20" t="s">
        <v>21</v>
      </c>
      <c r="C20" s="4">
        <v>0.09</v>
      </c>
    </row>
    <row r="21" spans="2:16" x14ac:dyDescent="0.3">
      <c r="B21" t="s">
        <v>20</v>
      </c>
      <c r="C21" s="5">
        <v>0.105</v>
      </c>
    </row>
    <row r="22" spans="2:16" x14ac:dyDescent="0.3">
      <c r="B22" t="s">
        <v>22</v>
      </c>
      <c r="C22" s="5">
        <v>5.3999999999999999E-2</v>
      </c>
    </row>
    <row r="23" spans="2:16" x14ac:dyDescent="0.3">
      <c r="B23" t="s">
        <v>23</v>
      </c>
      <c r="C23" s="5">
        <f>C22*0.7</f>
        <v>3.78E-2</v>
      </c>
    </row>
    <row r="24" spans="2:16" x14ac:dyDescent="0.3">
      <c r="B24" t="s">
        <v>26</v>
      </c>
      <c r="C24" s="3">
        <f>(225000/100)*107</f>
        <v>240750</v>
      </c>
    </row>
    <row r="25" spans="2:16" x14ac:dyDescent="0.3">
      <c r="B25" t="s">
        <v>27</v>
      </c>
      <c r="C25" s="3">
        <f>C24*0.7</f>
        <v>168525</v>
      </c>
    </row>
    <row r="26" spans="2:16" x14ac:dyDescent="0.3">
      <c r="B26" t="s">
        <v>24</v>
      </c>
      <c r="C26" s="3">
        <f>125000*3.2</f>
        <v>400000</v>
      </c>
    </row>
    <row r="28" spans="2:16" x14ac:dyDescent="0.3">
      <c r="B28" s="1" t="s">
        <v>29</v>
      </c>
    </row>
    <row r="29" spans="2:16" x14ac:dyDescent="0.3">
      <c r="B29" t="s">
        <v>34</v>
      </c>
      <c r="C29" s="5">
        <f>2.5%-0.3%</f>
        <v>2.2000000000000002E-2</v>
      </c>
    </row>
    <row r="30" spans="2:16" x14ac:dyDescent="0.3">
      <c r="B30" t="s">
        <v>44</v>
      </c>
      <c r="C30" s="4">
        <v>0.05</v>
      </c>
    </row>
    <row r="32" spans="2:16" x14ac:dyDescent="0.3">
      <c r="B32" t="s">
        <v>33</v>
      </c>
    </row>
    <row r="33" spans="2:8" x14ac:dyDescent="0.3">
      <c r="B33" t="s">
        <v>30</v>
      </c>
    </row>
    <row r="34" spans="2:8" x14ac:dyDescent="0.3">
      <c r="B34" t="s">
        <v>2</v>
      </c>
      <c r="C34">
        <v>0</v>
      </c>
      <c r="D34">
        <v>1</v>
      </c>
      <c r="E34">
        <v>2</v>
      </c>
      <c r="F34">
        <v>3</v>
      </c>
      <c r="G34">
        <v>4</v>
      </c>
      <c r="H34">
        <v>5</v>
      </c>
    </row>
    <row r="35" spans="2:8" x14ac:dyDescent="0.3">
      <c r="B35" t="s">
        <v>31</v>
      </c>
      <c r="C35" s="3">
        <f>-30600*4%</f>
        <v>-1224</v>
      </c>
      <c r="D35" s="3"/>
      <c r="E35" s="3"/>
      <c r="F35" s="3"/>
      <c r="G35" s="3"/>
    </row>
    <row r="36" spans="2:8" x14ac:dyDescent="0.3">
      <c r="B36" t="s">
        <v>32</v>
      </c>
      <c r="C36" s="3"/>
      <c r="E36" s="3">
        <f>30600*$C$29*30%</f>
        <v>201.96</v>
      </c>
      <c r="F36" s="3">
        <f t="shared" ref="F36:H36" si="12">30600*$C$29*30%</f>
        <v>201.96</v>
      </c>
      <c r="G36" s="3">
        <f t="shared" si="12"/>
        <v>201.96</v>
      </c>
      <c r="H36" s="3">
        <f t="shared" si="12"/>
        <v>201.96</v>
      </c>
    </row>
    <row r="37" spans="2:8" x14ac:dyDescent="0.3">
      <c r="B37" t="s">
        <v>35</v>
      </c>
      <c r="C37" s="3"/>
      <c r="D37" s="3">
        <f>30600*($C$30-$C$29)</f>
        <v>856.80000000000007</v>
      </c>
      <c r="E37" s="3">
        <f t="shared" ref="E37:G37" si="13">30600*($C$30-$C$29)</f>
        <v>856.80000000000007</v>
      </c>
      <c r="F37" s="3">
        <f t="shared" si="13"/>
        <v>856.80000000000007</v>
      </c>
      <c r="G37" s="3">
        <f t="shared" si="13"/>
        <v>856.80000000000007</v>
      </c>
    </row>
    <row r="38" spans="2:8" x14ac:dyDescent="0.3">
      <c r="B38" t="s">
        <v>36</v>
      </c>
      <c r="C38" s="3"/>
      <c r="E38" s="3">
        <f>D37*-30%</f>
        <v>-257.04000000000002</v>
      </c>
      <c r="F38" s="3">
        <f>E37*-30%</f>
        <v>-257.04000000000002</v>
      </c>
      <c r="G38" s="3">
        <f>F37*-30%</f>
        <v>-257.04000000000002</v>
      </c>
      <c r="H38" s="3">
        <f>G37*-30%</f>
        <v>-257.04000000000002</v>
      </c>
    </row>
    <row r="39" spans="2:8" x14ac:dyDescent="0.3">
      <c r="B39" t="s">
        <v>37</v>
      </c>
      <c r="C39" s="3">
        <f>SUM(C35:C38)</f>
        <v>-1224</v>
      </c>
      <c r="D39" s="3">
        <f t="shared" ref="D39:H39" si="14">SUM(D35:D38)</f>
        <v>856.80000000000007</v>
      </c>
      <c r="E39" s="3">
        <f t="shared" si="14"/>
        <v>801.72</v>
      </c>
      <c r="F39" s="3">
        <f t="shared" si="14"/>
        <v>801.72</v>
      </c>
      <c r="G39" s="3">
        <f t="shared" si="14"/>
        <v>801.72</v>
      </c>
      <c r="H39" s="3">
        <f t="shared" si="14"/>
        <v>-55.080000000000013</v>
      </c>
    </row>
    <row r="40" spans="2:8" x14ac:dyDescent="0.3">
      <c r="C40" s="3"/>
      <c r="D40" s="3"/>
      <c r="E40" s="3"/>
      <c r="F40" s="3"/>
      <c r="G40" s="3"/>
    </row>
    <row r="41" spans="2:8" x14ac:dyDescent="0.3">
      <c r="B41" t="s">
        <v>38</v>
      </c>
      <c r="C41" s="8">
        <v>2.5000000000000001E-2</v>
      </c>
      <c r="D41" s="3"/>
      <c r="E41" s="3"/>
      <c r="F41" s="3"/>
      <c r="G41" s="3"/>
    </row>
    <row r="42" spans="2:8" x14ac:dyDescent="0.3">
      <c r="B42" t="s">
        <v>39</v>
      </c>
      <c r="C42" s="6">
        <f>NPV(C41,D39:H39)+C39</f>
        <v>1797.1038532499447</v>
      </c>
    </row>
    <row r="44" spans="2:8" x14ac:dyDescent="0.3">
      <c r="B44" t="s">
        <v>40</v>
      </c>
      <c r="C44" s="6">
        <f>C42+C17</f>
        <v>878.2294062887272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4B775-18DF-4FA4-9841-114D5B7C874A}">
  <dimension ref="B1:N33"/>
  <sheetViews>
    <sheetView topLeftCell="B1" zoomScale="130" zoomScaleNormal="130" workbookViewId="0">
      <selection activeCell="H10" sqref="H10"/>
    </sheetView>
  </sheetViews>
  <sheetFormatPr defaultRowHeight="15.05" x14ac:dyDescent="0.3"/>
  <cols>
    <col min="2" max="2" width="19.6640625" bestFit="1" customWidth="1"/>
    <col min="4" max="4" width="11.109375" bestFit="1" customWidth="1"/>
    <col min="5" max="6" width="12.5546875" bestFit="1" customWidth="1"/>
    <col min="7" max="7" width="11.77734375" bestFit="1" customWidth="1"/>
    <col min="9" max="9" width="17.88671875" bestFit="1" customWidth="1"/>
  </cols>
  <sheetData>
    <row r="1" spans="2:14" x14ac:dyDescent="0.3">
      <c r="I1" t="s">
        <v>15</v>
      </c>
    </row>
    <row r="2" spans="2:14" ht="15.75" x14ac:dyDescent="0.3">
      <c r="B2" s="2" t="s">
        <v>50</v>
      </c>
      <c r="I2" s="1" t="s">
        <v>50</v>
      </c>
      <c r="K2" s="4">
        <v>0.06</v>
      </c>
      <c r="L2" s="4">
        <v>0.04</v>
      </c>
      <c r="M2" s="4">
        <v>0.03</v>
      </c>
      <c r="N2" s="4">
        <v>0.03</v>
      </c>
    </row>
    <row r="3" spans="2:14" x14ac:dyDescent="0.3">
      <c r="B3" t="s">
        <v>46</v>
      </c>
      <c r="I3" s="1" t="s">
        <v>51</v>
      </c>
      <c r="K3" s="4">
        <v>0.1</v>
      </c>
      <c r="L3" s="4">
        <v>0.09</v>
      </c>
      <c r="M3" s="4">
        <v>0.08</v>
      </c>
      <c r="N3" s="4">
        <v>7.0000000000000007E-2</v>
      </c>
    </row>
    <row r="4" spans="2:14" x14ac:dyDescent="0.3">
      <c r="B4" t="s">
        <v>48</v>
      </c>
      <c r="D4">
        <v>50</v>
      </c>
      <c r="E4">
        <v>65</v>
      </c>
      <c r="F4">
        <v>83</v>
      </c>
      <c r="G4">
        <v>90</v>
      </c>
      <c r="I4" t="s">
        <v>52</v>
      </c>
      <c r="J4">
        <v>2.6</v>
      </c>
      <c r="K4" s="7">
        <f>J4*(1+K2)/(1+K3)</f>
        <v>2.5054545454545454</v>
      </c>
      <c r="L4" s="7">
        <f>K4*(1+L2)/(1+L3)</f>
        <v>2.3905254378648872</v>
      </c>
      <c r="M4" s="7">
        <f>L4*(1+M2)/(1+M3)</f>
        <v>2.279852963889661</v>
      </c>
      <c r="N4" s="7">
        <f>M4*(1+N2)/(1+N3)</f>
        <v>2.1946248157068697</v>
      </c>
    </row>
    <row r="5" spans="2:14" x14ac:dyDescent="0.3">
      <c r="B5" s="1" t="s">
        <v>2</v>
      </c>
      <c r="C5" s="1">
        <v>0</v>
      </c>
      <c r="D5" s="1">
        <v>1</v>
      </c>
      <c r="E5" s="1">
        <v>2</v>
      </c>
      <c r="F5" s="1">
        <v>3</v>
      </c>
      <c r="G5" s="1">
        <v>4</v>
      </c>
    </row>
    <row r="6" spans="2:14" x14ac:dyDescent="0.3">
      <c r="B6" t="s">
        <v>47</v>
      </c>
      <c r="D6" s="7">
        <v>8000</v>
      </c>
      <c r="E6" s="7">
        <v>10920</v>
      </c>
      <c r="F6" s="7">
        <v>14641</v>
      </c>
      <c r="G6" s="7">
        <v>16670</v>
      </c>
      <c r="I6" t="s">
        <v>49</v>
      </c>
    </row>
    <row r="7" spans="2:14" x14ac:dyDescent="0.3">
      <c r="B7" t="s">
        <v>49</v>
      </c>
      <c r="D7" s="9">
        <f>-K9*D4</f>
        <v>-876.90909090909099</v>
      </c>
      <c r="E7" s="9">
        <f t="shared" ref="E7:G7" si="0">-L9*E4</f>
        <v>-1185.581090909091</v>
      </c>
      <c r="F7" s="9">
        <f t="shared" si="0"/>
        <v>-1559.3127301818181</v>
      </c>
      <c r="G7" s="9">
        <f t="shared" si="0"/>
        <v>-1741.5456637090908</v>
      </c>
      <c r="I7" t="s">
        <v>2</v>
      </c>
      <c r="J7">
        <v>0</v>
      </c>
      <c r="K7">
        <v>1</v>
      </c>
      <c r="L7">
        <v>2</v>
      </c>
      <c r="M7">
        <v>3</v>
      </c>
      <c r="N7">
        <v>4</v>
      </c>
    </row>
    <row r="8" spans="2:14" x14ac:dyDescent="0.3">
      <c r="B8" t="s">
        <v>55</v>
      </c>
      <c r="D8" s="7">
        <v>-3508</v>
      </c>
      <c r="E8" s="7">
        <v>-4934</v>
      </c>
      <c r="F8" s="7">
        <v>-6230</v>
      </c>
      <c r="G8" s="7">
        <v>-6685</v>
      </c>
      <c r="I8" t="s">
        <v>53</v>
      </c>
      <c r="K8">
        <v>7</v>
      </c>
      <c r="L8" s="7">
        <f>K8*(1+L3)</f>
        <v>7.6300000000000008</v>
      </c>
      <c r="M8" s="7">
        <f t="shared" ref="M8:N8" si="1">L8*(1+M3)</f>
        <v>8.2404000000000011</v>
      </c>
      <c r="N8" s="7">
        <f t="shared" si="1"/>
        <v>8.8172280000000018</v>
      </c>
    </row>
    <row r="9" spans="2:14" x14ac:dyDescent="0.3">
      <c r="B9" t="s">
        <v>7</v>
      </c>
      <c r="D9" s="7">
        <v>-3615</v>
      </c>
      <c r="E9" s="7">
        <v>-2711</v>
      </c>
      <c r="F9" s="7">
        <v>-2033</v>
      </c>
      <c r="G9" s="7">
        <v>-2701</v>
      </c>
      <c r="I9" t="s">
        <v>54</v>
      </c>
      <c r="K9" s="7">
        <f>K8*K4</f>
        <v>17.538181818181819</v>
      </c>
      <c r="L9" s="7">
        <f t="shared" ref="L9:N9" si="2">L8*L4</f>
        <v>18.239709090909091</v>
      </c>
      <c r="M9" s="7">
        <f t="shared" si="2"/>
        <v>18.786900363636363</v>
      </c>
      <c r="N9" s="7">
        <f t="shared" si="2"/>
        <v>19.350507374545455</v>
      </c>
    </row>
    <row r="10" spans="2:14" x14ac:dyDescent="0.3">
      <c r="B10" t="s">
        <v>56</v>
      </c>
      <c r="D10" s="7">
        <f>SUM(D6:D9)</f>
        <v>9.0909090909008228E-2</v>
      </c>
      <c r="E10" s="7">
        <f t="shared" ref="E10:G10" si="3">SUM(E6:E9)</f>
        <v>2089.4189090909094</v>
      </c>
      <c r="F10" s="7">
        <f t="shared" si="3"/>
        <v>4818.6872698181814</v>
      </c>
      <c r="G10" s="7">
        <f t="shared" si="3"/>
        <v>5542.4543362909099</v>
      </c>
    </row>
    <row r="11" spans="2:14" x14ac:dyDescent="0.3">
      <c r="B11" t="s">
        <v>10</v>
      </c>
      <c r="D11" s="7"/>
      <c r="E11" s="7"/>
      <c r="F11" s="7">
        <f>F10*-20%</f>
        <v>-963.73745396363631</v>
      </c>
      <c r="G11" s="7">
        <f>G10*-20%</f>
        <v>-1108.4908672581821</v>
      </c>
    </row>
    <row r="12" spans="2:14" x14ac:dyDescent="0.3">
      <c r="B12" t="s">
        <v>11</v>
      </c>
      <c r="D12" s="7">
        <f>-D9</f>
        <v>3615</v>
      </c>
      <c r="E12" s="7">
        <f t="shared" ref="E12:G12" si="4">-E9</f>
        <v>2711</v>
      </c>
      <c r="F12" s="7">
        <f t="shared" si="4"/>
        <v>2033</v>
      </c>
      <c r="G12" s="7">
        <f t="shared" si="4"/>
        <v>2701</v>
      </c>
    </row>
    <row r="13" spans="2:14" x14ac:dyDescent="0.3">
      <c r="B13" t="s">
        <v>16</v>
      </c>
      <c r="C13">
        <f>-14460</f>
        <v>-14460</v>
      </c>
      <c r="D13" s="7"/>
      <c r="E13" s="7"/>
      <c r="F13" s="7"/>
      <c r="G13" s="7">
        <v>3400</v>
      </c>
    </row>
    <row r="14" spans="2:14" x14ac:dyDescent="0.3">
      <c r="D14" s="7"/>
      <c r="E14" s="7"/>
      <c r="F14" s="7"/>
      <c r="G14" s="7"/>
    </row>
    <row r="15" spans="2:14" x14ac:dyDescent="0.3">
      <c r="B15" t="s">
        <v>18</v>
      </c>
      <c r="C15" s="7">
        <f>SUM(C10:C14)</f>
        <v>-14460</v>
      </c>
      <c r="D15" s="7">
        <f t="shared" ref="D15:G15" si="5">SUM(D10:D14)</f>
        <v>3615.090909090909</v>
      </c>
      <c r="E15" s="7">
        <f t="shared" si="5"/>
        <v>4800.4189090909094</v>
      </c>
      <c r="F15" s="7">
        <f t="shared" si="5"/>
        <v>5887.9498158545448</v>
      </c>
      <c r="G15" s="7">
        <f t="shared" si="5"/>
        <v>10534.963469032728</v>
      </c>
    </row>
    <row r="16" spans="2:14" x14ac:dyDescent="0.3">
      <c r="D16" s="7"/>
      <c r="E16" s="7"/>
      <c r="F16" s="7"/>
      <c r="G16" s="7"/>
    </row>
    <row r="17" spans="2:8" x14ac:dyDescent="0.3">
      <c r="B17" s="1" t="s">
        <v>45</v>
      </c>
      <c r="D17" s="7"/>
      <c r="E17" s="7"/>
      <c r="F17" s="7"/>
      <c r="G17" s="7"/>
    </row>
    <row r="18" spans="2:8" x14ac:dyDescent="0.3">
      <c r="B18" t="s">
        <v>57</v>
      </c>
      <c r="C18" s="7">
        <f>C15/J4</f>
        <v>-5561.538461538461</v>
      </c>
      <c r="D18" s="7">
        <f t="shared" ref="D18:G18" si="6">D15/K4</f>
        <v>1442.88824383164</v>
      </c>
      <c r="E18" s="7">
        <f t="shared" si="6"/>
        <v>2008.1019984369771</v>
      </c>
      <c r="F18" s="7">
        <f t="shared" si="6"/>
        <v>2582.6006804443668</v>
      </c>
      <c r="G18" s="7">
        <f t="shared" si="6"/>
        <v>4800.3482844239625</v>
      </c>
    </row>
    <row r="19" spans="2:8" x14ac:dyDescent="0.3">
      <c r="B19" t="s">
        <v>58</v>
      </c>
      <c r="C19" s="7"/>
      <c r="D19" s="7">
        <f>-D7/K4*35%</f>
        <v>122.50000000000001</v>
      </c>
      <c r="E19" s="7">
        <f t="shared" ref="E19:G19" si="7">-E7/L4*35%</f>
        <v>173.58250000000004</v>
      </c>
      <c r="F19" s="7">
        <f t="shared" si="7"/>
        <v>239.38362000000001</v>
      </c>
      <c r="G19" s="7">
        <f t="shared" si="7"/>
        <v>277.742682</v>
      </c>
    </row>
    <row r="20" spans="2:8" x14ac:dyDescent="0.3">
      <c r="B20" t="s">
        <v>59</v>
      </c>
      <c r="C20" s="7"/>
      <c r="D20" s="7">
        <v>-400</v>
      </c>
      <c r="E20" s="7">
        <f>D20*(1+L3)</f>
        <v>-436.00000000000006</v>
      </c>
      <c r="F20" s="7">
        <f t="shared" ref="F20:G20" si="8">E20*(1+M3)</f>
        <v>-470.88000000000011</v>
      </c>
      <c r="G20" s="7">
        <f t="shared" si="8"/>
        <v>-503.84160000000014</v>
      </c>
    </row>
    <row r="21" spans="2:8" x14ac:dyDescent="0.3">
      <c r="B21" t="s">
        <v>60</v>
      </c>
      <c r="C21" s="7"/>
      <c r="D21" s="7">
        <f>D19*-30%</f>
        <v>-36.75</v>
      </c>
      <c r="E21" s="7">
        <f t="shared" ref="E21:G21" si="9">E19*-30%</f>
        <v>-52.074750000000009</v>
      </c>
      <c r="F21" s="7">
        <f t="shared" si="9"/>
        <v>-71.815085999999994</v>
      </c>
      <c r="G21" s="7">
        <f t="shared" si="9"/>
        <v>-83.322804599999998</v>
      </c>
    </row>
    <row r="22" spans="2:8" x14ac:dyDescent="0.3">
      <c r="B22" t="s">
        <v>61</v>
      </c>
      <c r="C22" s="7"/>
      <c r="D22" s="7">
        <f>D20*-30%</f>
        <v>120</v>
      </c>
      <c r="E22" s="7">
        <f t="shared" ref="E22:G22" si="10">E20*-30%</f>
        <v>130.80000000000001</v>
      </c>
      <c r="F22" s="7">
        <f t="shared" si="10"/>
        <v>141.26400000000004</v>
      </c>
      <c r="G22" s="7">
        <f t="shared" si="10"/>
        <v>151.15248000000003</v>
      </c>
    </row>
    <row r="23" spans="2:8" x14ac:dyDescent="0.3">
      <c r="B23" t="s">
        <v>62</v>
      </c>
      <c r="C23" s="7"/>
      <c r="D23" s="7"/>
      <c r="E23" s="7">
        <f>E10*-10%/L4</f>
        <v>-87.40416964385399</v>
      </c>
      <c r="F23" s="7">
        <f>F10*-10%/M4</f>
        <v>-211.35956336399042</v>
      </c>
      <c r="G23" s="7">
        <f>G10*-10%/N4</f>
        <v>-252.54678141902508</v>
      </c>
    </row>
    <row r="24" spans="2:8" x14ac:dyDescent="0.3">
      <c r="C24" s="7"/>
      <c r="D24" s="7"/>
      <c r="E24" s="7"/>
      <c r="F24" s="7"/>
      <c r="G24" s="7"/>
    </row>
    <row r="25" spans="2:8" x14ac:dyDescent="0.3">
      <c r="B25" t="s">
        <v>18</v>
      </c>
      <c r="C25" s="7">
        <f>SUM(C18:C24)</f>
        <v>-5561.538461538461</v>
      </c>
      <c r="D25" s="7">
        <f t="shared" ref="D25:G25" si="11">SUM(D18:D24)</f>
        <v>1248.63824383164</v>
      </c>
      <c r="E25" s="7">
        <f t="shared" si="11"/>
        <v>1737.0055787931233</v>
      </c>
      <c r="F25" s="7">
        <f t="shared" si="11"/>
        <v>2209.1936510803766</v>
      </c>
      <c r="G25" s="7">
        <f t="shared" si="11"/>
        <v>4389.532260404937</v>
      </c>
    </row>
    <row r="26" spans="2:8" x14ac:dyDescent="0.3">
      <c r="B26" t="s">
        <v>63</v>
      </c>
      <c r="C26" s="7">
        <v>0.14000000000000001</v>
      </c>
      <c r="D26" s="7"/>
      <c r="E26" s="7"/>
      <c r="F26" s="7"/>
      <c r="G26" s="7"/>
    </row>
    <row r="27" spans="2:8" x14ac:dyDescent="0.3">
      <c r="B27" t="s">
        <v>64</v>
      </c>
      <c r="C27" s="7">
        <f>NPV(C26,D25:G25)+C25</f>
        <v>960.42589974961629</v>
      </c>
      <c r="D27" s="7"/>
      <c r="E27" s="7"/>
      <c r="F27" s="7"/>
      <c r="G27" s="7"/>
    </row>
    <row r="28" spans="2:8" x14ac:dyDescent="0.3">
      <c r="C28" s="7"/>
      <c r="D28" s="7"/>
      <c r="E28" s="7"/>
      <c r="F28" s="7"/>
      <c r="G28" s="7"/>
    </row>
    <row r="29" spans="2:8" x14ac:dyDescent="0.3">
      <c r="C29" s="7"/>
      <c r="D29" s="7"/>
      <c r="E29" s="7"/>
      <c r="F29" s="7"/>
      <c r="G29" s="7"/>
    </row>
    <row r="30" spans="2:8" x14ac:dyDescent="0.3">
      <c r="B30" s="1" t="s">
        <v>65</v>
      </c>
      <c r="D30">
        <v>1</v>
      </c>
      <c r="E30">
        <v>2</v>
      </c>
      <c r="F30">
        <v>3</v>
      </c>
      <c r="G30">
        <v>4</v>
      </c>
    </row>
    <row r="31" spans="2:8" x14ac:dyDescent="0.3">
      <c r="B31" t="s">
        <v>66</v>
      </c>
      <c r="D31">
        <f>D25*(1+$C$26)^-D30</f>
        <v>1095.2967051154737</v>
      </c>
      <c r="E31">
        <f t="shared" ref="E31:G31" si="12">E25*(1+$C$26)^-E30</f>
        <v>1336.5693896530647</v>
      </c>
      <c r="F31">
        <f t="shared" si="12"/>
        <v>1491.1427882535895</v>
      </c>
      <c r="G31">
        <f t="shared" si="12"/>
        <v>2598.9554782659498</v>
      </c>
      <c r="H31">
        <f>SUM(D31:G31)</f>
        <v>6521.9643612880773</v>
      </c>
    </row>
    <row r="32" spans="2:8" x14ac:dyDescent="0.3">
      <c r="B32" t="s">
        <v>67</v>
      </c>
      <c r="D32">
        <f>D31*D30</f>
        <v>1095.2967051154737</v>
      </c>
      <c r="E32">
        <f t="shared" ref="E32:G32" si="13">E31*E30</f>
        <v>2673.1387793061294</v>
      </c>
      <c r="F32">
        <f t="shared" si="13"/>
        <v>4473.4283647607681</v>
      </c>
      <c r="G32">
        <f t="shared" si="13"/>
        <v>10395.821913063799</v>
      </c>
      <c r="H32">
        <f>SUM(D32:G32)</f>
        <v>18637.685762246168</v>
      </c>
    </row>
    <row r="33" spans="8:8" x14ac:dyDescent="0.3">
      <c r="H33">
        <f>H32/H31</f>
        <v>2.857679792436838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EC251-CD14-4A02-945F-3D8BA394D56D}">
  <dimension ref="B2:O46"/>
  <sheetViews>
    <sheetView zoomScale="102" workbookViewId="0">
      <selection activeCell="A18" sqref="A18"/>
    </sheetView>
  </sheetViews>
  <sheetFormatPr defaultRowHeight="15.05" x14ac:dyDescent="0.3"/>
  <cols>
    <col min="2" max="2" width="17" bestFit="1" customWidth="1"/>
    <col min="3" max="3" width="7.44140625" bestFit="1" customWidth="1"/>
    <col min="6" max="6" width="12" bestFit="1" customWidth="1"/>
    <col min="10" max="10" width="16.21875" customWidth="1"/>
  </cols>
  <sheetData>
    <row r="2" spans="2:15" ht="15.75" x14ac:dyDescent="0.3">
      <c r="B2" s="2" t="s">
        <v>68</v>
      </c>
      <c r="F2" s="1" t="s">
        <v>69</v>
      </c>
    </row>
    <row r="3" spans="2:15" x14ac:dyDescent="0.3">
      <c r="B3" t="s">
        <v>76</v>
      </c>
      <c r="C3" s="7">
        <f>G11</f>
        <v>1.3807834922292368</v>
      </c>
      <c r="F3" t="s">
        <v>70</v>
      </c>
      <c r="G3" s="4">
        <v>0.14000000000000001</v>
      </c>
    </row>
    <row r="4" spans="2:15" x14ac:dyDescent="0.3">
      <c r="B4" t="s">
        <v>70</v>
      </c>
      <c r="C4" s="5">
        <f>G8+C3*G9</f>
        <v>0.10023133968916947</v>
      </c>
      <c r="F4" t="s">
        <v>71</v>
      </c>
      <c r="G4" s="4">
        <v>0.28000000000000003</v>
      </c>
    </row>
    <row r="5" spans="2:15" x14ac:dyDescent="0.3">
      <c r="F5" t="s">
        <v>72</v>
      </c>
      <c r="G5" s="4">
        <f>1-G4</f>
        <v>0.72</v>
      </c>
    </row>
    <row r="6" spans="2:15" x14ac:dyDescent="0.3">
      <c r="B6" t="s">
        <v>87</v>
      </c>
      <c r="F6" t="s">
        <v>24</v>
      </c>
      <c r="G6">
        <f>2.53*15000</f>
        <v>37950</v>
      </c>
    </row>
    <row r="7" spans="2:15" x14ac:dyDescent="0.3">
      <c r="F7" t="s">
        <v>25</v>
      </c>
      <c r="G7">
        <f>40000/100*94.88</f>
        <v>37952</v>
      </c>
    </row>
    <row r="8" spans="2:15" x14ac:dyDescent="0.3">
      <c r="F8" t="s">
        <v>38</v>
      </c>
      <c r="G8" s="5">
        <v>4.4999999999999998E-2</v>
      </c>
    </row>
    <row r="9" spans="2:15" x14ac:dyDescent="0.3">
      <c r="F9" t="s">
        <v>73</v>
      </c>
      <c r="G9" s="4">
        <v>0.04</v>
      </c>
    </row>
    <row r="10" spans="2:15" x14ac:dyDescent="0.3">
      <c r="F10" s="1" t="s">
        <v>74</v>
      </c>
      <c r="G10" s="11">
        <f>(G3-G8)/G9</f>
        <v>2.3750000000000004</v>
      </c>
    </row>
    <row r="11" spans="2:15" x14ac:dyDescent="0.3">
      <c r="F11" t="s">
        <v>76</v>
      </c>
      <c r="G11" s="7">
        <f>(G6*G10)/(G6+G7*G5)</f>
        <v>1.3807834922292368</v>
      </c>
    </row>
    <row r="13" spans="2:15" x14ac:dyDescent="0.3">
      <c r="F13" t="s">
        <v>75</v>
      </c>
    </row>
    <row r="15" spans="2:15" x14ac:dyDescent="0.3">
      <c r="J15" s="1" t="s">
        <v>85</v>
      </c>
    </row>
    <row r="16" spans="2:15" x14ac:dyDescent="0.3">
      <c r="B16" t="s">
        <v>77</v>
      </c>
      <c r="C16">
        <v>0</v>
      </c>
      <c r="D16">
        <v>1</v>
      </c>
      <c r="E16">
        <v>2</v>
      </c>
      <c r="F16">
        <v>3</v>
      </c>
      <c r="G16">
        <v>4</v>
      </c>
      <c r="J16" t="s">
        <v>77</v>
      </c>
      <c r="K16">
        <v>0</v>
      </c>
      <c r="L16">
        <v>1</v>
      </c>
      <c r="M16">
        <v>2</v>
      </c>
      <c r="N16">
        <v>3</v>
      </c>
      <c r="O16">
        <v>4</v>
      </c>
    </row>
    <row r="17" spans="2:15" x14ac:dyDescent="0.3">
      <c r="B17" t="s">
        <v>78</v>
      </c>
      <c r="D17">
        <f>4000*(100%-37.5%)</f>
        <v>2500</v>
      </c>
      <c r="E17">
        <f>D17*(1+3%)</f>
        <v>2575</v>
      </c>
      <c r="F17">
        <f t="shared" ref="F17:G17" si="0">E17*(1+3%)</f>
        <v>2652.25</v>
      </c>
      <c r="G17">
        <f t="shared" si="0"/>
        <v>2731.8175000000001</v>
      </c>
      <c r="J17" t="s">
        <v>13</v>
      </c>
      <c r="L17">
        <f>D21*15%</f>
        <v>487.5</v>
      </c>
      <c r="M17">
        <f t="shared" ref="M17:O17" si="1">E21*15%</f>
        <v>702.9749999999998</v>
      </c>
      <c r="N17">
        <f t="shared" si="1"/>
        <v>1013.6899499999998</v>
      </c>
      <c r="O17">
        <f t="shared" si="1"/>
        <v>1096.3056809249997</v>
      </c>
    </row>
    <row r="18" spans="2:15" x14ac:dyDescent="0.3">
      <c r="B18" t="s">
        <v>80</v>
      </c>
      <c r="D18">
        <f>1200</f>
        <v>1200</v>
      </c>
      <c r="E18">
        <f>D18*1.08</f>
        <v>1296</v>
      </c>
      <c r="F18">
        <f t="shared" ref="F18:G18" si="2">E18*1.08</f>
        <v>1399.68</v>
      </c>
      <c r="G18">
        <f t="shared" si="2"/>
        <v>1511.6544000000001</v>
      </c>
      <c r="J18" t="s">
        <v>14</v>
      </c>
      <c r="K18">
        <f>K17-L17</f>
        <v>-487.5</v>
      </c>
      <c r="L18">
        <f t="shared" ref="L18:O18" si="3">L17-M17</f>
        <v>-215.4749999999998</v>
      </c>
      <c r="M18">
        <f t="shared" si="3"/>
        <v>-310.71495000000004</v>
      </c>
      <c r="N18">
        <f t="shared" si="3"/>
        <v>-82.615730924999866</v>
      </c>
      <c r="O18">
        <f t="shared" si="3"/>
        <v>1096.3056809249997</v>
      </c>
    </row>
    <row r="19" spans="2:15" x14ac:dyDescent="0.3">
      <c r="B19" t="s">
        <v>79</v>
      </c>
      <c r="D19">
        <v>1300</v>
      </c>
      <c r="E19">
        <f>D19*1.4</f>
        <v>1819.9999999999998</v>
      </c>
      <c r="F19">
        <f>E19*1.4</f>
        <v>2547.9999999999995</v>
      </c>
      <c r="G19">
        <f>F19*1.05</f>
        <v>2675.3999999999996</v>
      </c>
    </row>
    <row r="21" spans="2:15" x14ac:dyDescent="0.3">
      <c r="B21" t="s">
        <v>81</v>
      </c>
      <c r="D21">
        <f>D17*D19/1000</f>
        <v>3250</v>
      </c>
      <c r="E21">
        <f t="shared" ref="E21:G21" si="4">E17*E19/1000</f>
        <v>4686.4999999999991</v>
      </c>
      <c r="F21">
        <f t="shared" si="4"/>
        <v>6757.9329999999991</v>
      </c>
      <c r="G21">
        <f t="shared" si="4"/>
        <v>7308.7045394999986</v>
      </c>
      <c r="J21" t="s">
        <v>88</v>
      </c>
      <c r="K21">
        <v>14000</v>
      </c>
      <c r="O21" s="4">
        <v>0.8</v>
      </c>
    </row>
    <row r="22" spans="2:15" x14ac:dyDescent="0.3">
      <c r="B22" t="s">
        <v>82</v>
      </c>
      <c r="D22">
        <f>-D18*D19/1000</f>
        <v>-1560</v>
      </c>
      <c r="E22">
        <f t="shared" ref="E22:G22" si="5">-E18*E19/1000</f>
        <v>-2358.7199999999993</v>
      </c>
      <c r="F22">
        <f t="shared" si="5"/>
        <v>-3566.3846399999998</v>
      </c>
      <c r="G22">
        <f t="shared" si="5"/>
        <v>-4044.2801817599998</v>
      </c>
      <c r="J22" t="s">
        <v>89</v>
      </c>
      <c r="K22">
        <f>K21/96*4</f>
        <v>583.33333333333337</v>
      </c>
      <c r="M22" t="s">
        <v>30</v>
      </c>
      <c r="O22">
        <f>K23*O21</f>
        <v>11666.666666666668</v>
      </c>
    </row>
    <row r="23" spans="2:15" x14ac:dyDescent="0.3">
      <c r="B23" t="s">
        <v>83</v>
      </c>
      <c r="D23">
        <f>-(2500*40%)</f>
        <v>-1000</v>
      </c>
      <c r="E23">
        <f>D23*1.05</f>
        <v>-1050</v>
      </c>
      <c r="F23">
        <f t="shared" ref="F23:G23" si="6">E23*1.05</f>
        <v>-1102.5</v>
      </c>
      <c r="G23">
        <f t="shared" si="6"/>
        <v>-1157.625</v>
      </c>
      <c r="J23" t="s">
        <v>90</v>
      </c>
      <c r="K23">
        <f>K21+K22</f>
        <v>14583.333333333334</v>
      </c>
      <c r="M23" t="s">
        <v>92</v>
      </c>
    </row>
    <row r="24" spans="2:15" x14ac:dyDescent="0.3">
      <c r="B24" t="s">
        <v>7</v>
      </c>
      <c r="D24">
        <f>-(3000-400)/4</f>
        <v>-650</v>
      </c>
      <c r="E24">
        <f t="shared" ref="E24:G24" si="7">-(3000-400)/4</f>
        <v>-650</v>
      </c>
      <c r="F24">
        <f t="shared" si="7"/>
        <v>-650</v>
      </c>
      <c r="G24">
        <f t="shared" si="7"/>
        <v>-650</v>
      </c>
    </row>
    <row r="25" spans="2:15" x14ac:dyDescent="0.3">
      <c r="B25" t="s">
        <v>56</v>
      </c>
      <c r="D25" s="7">
        <f>SUM(D21:D24)</f>
        <v>40</v>
      </c>
      <c r="E25" s="7">
        <f t="shared" ref="E25:G25" si="8">SUM(E21:E24)</f>
        <v>627.77999999999975</v>
      </c>
      <c r="F25" s="7">
        <f t="shared" si="8"/>
        <v>1439.0483599999993</v>
      </c>
      <c r="G25" s="7">
        <f t="shared" si="8"/>
        <v>1456.7993577399989</v>
      </c>
      <c r="J25" s="1" t="s">
        <v>87</v>
      </c>
      <c r="K25" s="10">
        <f>(2.5%*80%)+(7.5%*20%)</f>
        <v>3.5000000000000003E-2</v>
      </c>
      <c r="O25" s="4">
        <v>0.2</v>
      </c>
    </row>
    <row r="26" spans="2:15" x14ac:dyDescent="0.3">
      <c r="B26" t="s">
        <v>84</v>
      </c>
      <c r="D26" s="7">
        <f>-D25*25%</f>
        <v>-10</v>
      </c>
      <c r="E26" s="7">
        <f t="shared" ref="E26:G26" si="9">-E25*25%</f>
        <v>-156.94499999999994</v>
      </c>
      <c r="F26" s="7">
        <f t="shared" si="9"/>
        <v>-359.76208999999983</v>
      </c>
      <c r="G26" s="7">
        <f t="shared" si="9"/>
        <v>-364.19983943499972</v>
      </c>
      <c r="M26" t="s">
        <v>30</v>
      </c>
      <c r="O26">
        <f>O25*K23</f>
        <v>2916.666666666667</v>
      </c>
    </row>
    <row r="27" spans="2:15" x14ac:dyDescent="0.3">
      <c r="B27" t="s">
        <v>86</v>
      </c>
      <c r="D27" s="7">
        <f>-D24</f>
        <v>650</v>
      </c>
      <c r="E27" s="7">
        <f t="shared" ref="E27:G27" si="10">-E24</f>
        <v>650</v>
      </c>
      <c r="F27" s="7">
        <f t="shared" si="10"/>
        <v>650</v>
      </c>
      <c r="G27" s="7">
        <f t="shared" si="10"/>
        <v>650</v>
      </c>
      <c r="M27" t="s">
        <v>92</v>
      </c>
    </row>
    <row r="28" spans="2:15" x14ac:dyDescent="0.3">
      <c r="B28" t="s">
        <v>85</v>
      </c>
      <c r="C28">
        <f>K18</f>
        <v>-487.5</v>
      </c>
      <c r="D28">
        <f t="shared" ref="D28:G28" si="11">L18</f>
        <v>-215.4749999999998</v>
      </c>
      <c r="E28">
        <f t="shared" si="11"/>
        <v>-310.71495000000004</v>
      </c>
      <c r="F28">
        <f t="shared" si="11"/>
        <v>-82.615730924999866</v>
      </c>
      <c r="G28">
        <f t="shared" si="11"/>
        <v>1096.3056809249997</v>
      </c>
    </row>
    <row r="30" spans="2:15" x14ac:dyDescent="0.3">
      <c r="B30" t="s">
        <v>16</v>
      </c>
      <c r="C30">
        <v>-14000</v>
      </c>
      <c r="G30">
        <v>16000</v>
      </c>
    </row>
    <row r="31" spans="2:15" x14ac:dyDescent="0.3">
      <c r="B31" t="s">
        <v>18</v>
      </c>
      <c r="C31">
        <f>SUM(C25:C30)</f>
        <v>-14487.5</v>
      </c>
      <c r="D31">
        <f t="shared" ref="D31:G31" si="12">SUM(D25:D30)</f>
        <v>464.5250000000002</v>
      </c>
      <c r="E31">
        <f t="shared" si="12"/>
        <v>810.12004999999976</v>
      </c>
      <c r="F31">
        <f t="shared" si="12"/>
        <v>1646.6705390749999</v>
      </c>
      <c r="G31">
        <f t="shared" si="12"/>
        <v>18838.905199229997</v>
      </c>
    </row>
    <row r="32" spans="2:15" x14ac:dyDescent="0.3">
      <c r="B32" t="s">
        <v>87</v>
      </c>
      <c r="C32" s="5">
        <v>0.1</v>
      </c>
    </row>
    <row r="33" spans="2:11" x14ac:dyDescent="0.3">
      <c r="B33" s="1" t="s">
        <v>28</v>
      </c>
      <c r="C33" s="7">
        <f>NPV(C32,D31:G31)+C31</f>
        <v>708.70984066149322</v>
      </c>
    </row>
    <row r="35" spans="2:11" x14ac:dyDescent="0.3">
      <c r="J35" s="1" t="s">
        <v>91</v>
      </c>
      <c r="K35" s="10">
        <f>7.5%-2%</f>
        <v>5.4999999999999993E-2</v>
      </c>
    </row>
    <row r="36" spans="2:11" x14ac:dyDescent="0.3">
      <c r="B36" t="s">
        <v>2</v>
      </c>
      <c r="C36">
        <v>0</v>
      </c>
      <c r="D36">
        <v>1</v>
      </c>
      <c r="E36">
        <v>2</v>
      </c>
      <c r="F36">
        <v>3</v>
      </c>
      <c r="G36">
        <v>4</v>
      </c>
      <c r="J36" s="1" t="s">
        <v>93</v>
      </c>
      <c r="K36" s="10">
        <f>4.5%+3%</f>
        <v>7.4999999999999997E-2</v>
      </c>
    </row>
    <row r="37" spans="2:11" x14ac:dyDescent="0.3">
      <c r="B37" t="s">
        <v>89</v>
      </c>
      <c r="C37">
        <f>C31/96*4</f>
        <v>-603.64583333333337</v>
      </c>
    </row>
    <row r="39" spans="2:11" x14ac:dyDescent="0.3">
      <c r="B39" t="s">
        <v>35</v>
      </c>
      <c r="D39">
        <f>(14488*80%)*($K$36-$K$35)</f>
        <v>231.80800000000008</v>
      </c>
      <c r="E39">
        <f t="shared" ref="E39:G39" si="13">(14488*80%)*($K$36-$K$35)</f>
        <v>231.80800000000008</v>
      </c>
      <c r="F39">
        <f t="shared" si="13"/>
        <v>231.80800000000008</v>
      </c>
      <c r="G39">
        <f t="shared" si="13"/>
        <v>231.80800000000008</v>
      </c>
    </row>
    <row r="40" spans="2:11" x14ac:dyDescent="0.3">
      <c r="B40" t="s">
        <v>117</v>
      </c>
      <c r="D40">
        <f>((14488*80%*5.5%)+(14488*20%*7.5%))*25%</f>
        <v>213.69800000000004</v>
      </c>
      <c r="E40">
        <f t="shared" ref="E40:G40" si="14">((14488*80%*5.5%)+(14488*20%*7.5%))*25%</f>
        <v>213.69800000000004</v>
      </c>
      <c r="F40">
        <f t="shared" si="14"/>
        <v>213.69800000000004</v>
      </c>
      <c r="G40">
        <f t="shared" si="14"/>
        <v>213.69800000000004</v>
      </c>
    </row>
    <row r="41" spans="2:11" x14ac:dyDescent="0.3">
      <c r="B41" t="s">
        <v>94</v>
      </c>
      <c r="D41">
        <f>-D39*25%</f>
        <v>-57.952000000000019</v>
      </c>
      <c r="E41">
        <f t="shared" ref="E41:G41" si="15">-E39*25%</f>
        <v>-57.952000000000019</v>
      </c>
      <c r="F41">
        <f t="shared" si="15"/>
        <v>-57.952000000000019</v>
      </c>
      <c r="G41">
        <f t="shared" si="15"/>
        <v>-57.952000000000019</v>
      </c>
    </row>
    <row r="43" spans="2:11" x14ac:dyDescent="0.3">
      <c r="B43" t="s">
        <v>95</v>
      </c>
      <c r="C43">
        <f>SUM(C37:C41)</f>
        <v>-603.64583333333337</v>
      </c>
      <c r="D43">
        <f>SUM(D37:D41)</f>
        <v>387.55400000000009</v>
      </c>
      <c r="E43">
        <f>SUM(E37:E41)</f>
        <v>387.55400000000009</v>
      </c>
      <c r="F43">
        <f>SUM(F37:F41)</f>
        <v>387.55400000000009</v>
      </c>
      <c r="G43">
        <f>SUM(G37:G41)</f>
        <v>387.55400000000009</v>
      </c>
    </row>
    <row r="44" spans="2:11" x14ac:dyDescent="0.3">
      <c r="B44" t="s">
        <v>96</v>
      </c>
      <c r="C44" s="7">
        <f>NPV(C45,D43:G43)+C43</f>
        <v>786.71410100167452</v>
      </c>
    </row>
    <row r="45" spans="2:11" x14ac:dyDescent="0.3">
      <c r="C45" s="5">
        <v>4.4999999999999998E-2</v>
      </c>
    </row>
    <row r="46" spans="2:11" x14ac:dyDescent="0.3">
      <c r="C46" s="7">
        <f>C44+C33</f>
        <v>1495.4239416631676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E7103-69FE-4A1B-B080-D6ED304A28C6}">
  <dimension ref="A3:G50"/>
  <sheetViews>
    <sheetView zoomScale="123" workbookViewId="0">
      <selection activeCell="A22" sqref="A22"/>
    </sheetView>
  </sheetViews>
  <sheetFormatPr defaultRowHeight="15.05" x14ac:dyDescent="0.3"/>
  <cols>
    <col min="2" max="2" width="18.77734375" bestFit="1" customWidth="1"/>
    <col min="4" max="4" width="7.88671875" customWidth="1"/>
  </cols>
  <sheetData>
    <row r="3" spans="2:7" x14ac:dyDescent="0.3">
      <c r="B3" s="1" t="s">
        <v>97</v>
      </c>
    </row>
    <row r="4" spans="2:7" x14ac:dyDescent="0.3">
      <c r="B4" s="1" t="s">
        <v>100</v>
      </c>
    </row>
    <row r="5" spans="2:7" x14ac:dyDescent="0.3">
      <c r="B5" t="s">
        <v>2</v>
      </c>
      <c r="C5">
        <v>0</v>
      </c>
      <c r="D5">
        <v>1</v>
      </c>
    </row>
    <row r="6" spans="2:7" x14ac:dyDescent="0.3">
      <c r="B6" t="s">
        <v>57</v>
      </c>
      <c r="C6">
        <v>-104</v>
      </c>
      <c r="D6">
        <v>109</v>
      </c>
    </row>
    <row r="7" spans="2:7" x14ac:dyDescent="0.3">
      <c r="B7" t="s">
        <v>98</v>
      </c>
      <c r="C7">
        <f>C6</f>
        <v>-104</v>
      </c>
      <c r="D7">
        <f>F7-C7</f>
        <v>104</v>
      </c>
      <c r="F7">
        <v>0</v>
      </c>
    </row>
    <row r="9" spans="2:7" x14ac:dyDescent="0.3">
      <c r="C9" t="s">
        <v>99</v>
      </c>
    </row>
    <row r="11" spans="2:7" x14ac:dyDescent="0.3">
      <c r="B11" s="1" t="s">
        <v>101</v>
      </c>
    </row>
    <row r="12" spans="2:7" x14ac:dyDescent="0.3">
      <c r="B12" t="s">
        <v>2</v>
      </c>
      <c r="C12">
        <v>0</v>
      </c>
      <c r="D12">
        <v>1</v>
      </c>
      <c r="E12">
        <v>2</v>
      </c>
    </row>
    <row r="13" spans="2:7" x14ac:dyDescent="0.3">
      <c r="B13" t="s">
        <v>57</v>
      </c>
      <c r="C13">
        <v>-102</v>
      </c>
      <c r="D13">
        <v>7</v>
      </c>
      <c r="E13">
        <v>107</v>
      </c>
    </row>
    <row r="14" spans="2:7" x14ac:dyDescent="0.3">
      <c r="B14" t="s">
        <v>98</v>
      </c>
      <c r="C14">
        <f>C13</f>
        <v>-102</v>
      </c>
      <c r="D14" s="7">
        <f>D13*(1+D25)^-D12</f>
        <v>6.6788990825688073</v>
      </c>
      <c r="E14" s="7">
        <f>G14-C14-D14</f>
        <v>95.321100917431195</v>
      </c>
      <c r="G14">
        <v>0</v>
      </c>
    </row>
    <row r="17" spans="1:7" x14ac:dyDescent="0.3">
      <c r="D17" t="s">
        <v>99</v>
      </c>
    </row>
    <row r="19" spans="1:7" x14ac:dyDescent="0.3">
      <c r="B19" s="1" t="s">
        <v>102</v>
      </c>
    </row>
    <row r="20" spans="1:7" x14ac:dyDescent="0.3">
      <c r="B20" t="s">
        <v>2</v>
      </c>
      <c r="C20">
        <v>0</v>
      </c>
      <c r="D20">
        <v>1</v>
      </c>
      <c r="E20">
        <v>2</v>
      </c>
      <c r="F20">
        <v>3</v>
      </c>
    </row>
    <row r="21" spans="1:7" x14ac:dyDescent="0.3">
      <c r="B21" t="s">
        <v>57</v>
      </c>
      <c r="C21">
        <v>-98</v>
      </c>
      <c r="D21">
        <v>6</v>
      </c>
      <c r="E21">
        <v>6</v>
      </c>
      <c r="F21">
        <v>106</v>
      </c>
    </row>
    <row r="22" spans="1:7" x14ac:dyDescent="0.3">
      <c r="B22" t="s">
        <v>98</v>
      </c>
      <c r="C22">
        <f>C21</f>
        <v>-98</v>
      </c>
      <c r="D22" s="7">
        <f>D21*(1+D25)^-D20</f>
        <v>5.7247706422018343</v>
      </c>
      <c r="E22" s="7">
        <f>E21*(1+E25)^-E20</f>
        <v>5.3451084626596916</v>
      </c>
      <c r="F22" s="7">
        <f>G22-C22-D22-E22</f>
        <v>86.930120895138472</v>
      </c>
      <c r="G22">
        <v>0</v>
      </c>
    </row>
    <row r="25" spans="1:7" x14ac:dyDescent="0.3">
      <c r="C25" t="s">
        <v>99</v>
      </c>
      <c r="D25" s="5">
        <f>(D6/D7)^(1/D5)-1</f>
        <v>4.8076923076923128E-2</v>
      </c>
      <c r="E25" s="5">
        <f>(E13/E14)^(1/E12)-1</f>
        <v>5.9491224804585796E-2</v>
      </c>
      <c r="F25" s="5">
        <f>(F21/F22)^(1/F20)-1</f>
        <v>6.8345833330314187E-2</v>
      </c>
    </row>
    <row r="27" spans="1:7" x14ac:dyDescent="0.3">
      <c r="A27" s="1" t="s">
        <v>103</v>
      </c>
    </row>
    <row r="28" spans="1:7" x14ac:dyDescent="0.3">
      <c r="B28" s="1" t="s">
        <v>104</v>
      </c>
    </row>
    <row r="30" spans="1:7" x14ac:dyDescent="0.3">
      <c r="B30" t="s">
        <v>2</v>
      </c>
      <c r="C30">
        <v>0</v>
      </c>
      <c r="D30">
        <v>1</v>
      </c>
      <c r="E30">
        <v>2</v>
      </c>
      <c r="F30">
        <v>3</v>
      </c>
    </row>
    <row r="31" spans="1:7" x14ac:dyDescent="0.3">
      <c r="B31" t="s">
        <v>105</v>
      </c>
      <c r="D31" s="12">
        <f>D25+0.18%</f>
        <v>4.9876923076923131E-2</v>
      </c>
      <c r="E31" s="12">
        <f>E25+0.31%</f>
        <v>6.2591224804585802E-2</v>
      </c>
      <c r="F31" s="12">
        <f>F25+0.45%</f>
        <v>7.2845833330314191E-2</v>
      </c>
    </row>
    <row r="32" spans="1:7" x14ac:dyDescent="0.3">
      <c r="B32" t="s">
        <v>106</v>
      </c>
      <c r="D32" s="12">
        <f>D25+0.54%</f>
        <v>5.347692307692313E-2</v>
      </c>
      <c r="E32" s="12">
        <f>E25+0.69%</f>
        <v>6.6391224804585799E-2</v>
      </c>
      <c r="F32" s="12">
        <f>F25+0.86%</f>
        <v>7.6945833330314184E-2</v>
      </c>
    </row>
    <row r="35" spans="1:6" x14ac:dyDescent="0.3">
      <c r="A35" t="s">
        <v>107</v>
      </c>
      <c r="B35" s="1" t="s">
        <v>108</v>
      </c>
    </row>
    <row r="36" spans="1:6" x14ac:dyDescent="0.3">
      <c r="B36" t="s">
        <v>2</v>
      </c>
      <c r="C36">
        <v>0</v>
      </c>
      <c r="D36">
        <v>1</v>
      </c>
      <c r="E36">
        <v>2</v>
      </c>
      <c r="F36">
        <v>3</v>
      </c>
    </row>
    <row r="37" spans="1:6" x14ac:dyDescent="0.3">
      <c r="B37" t="s">
        <v>57</v>
      </c>
      <c r="D37">
        <v>8</v>
      </c>
      <c r="E37">
        <v>8</v>
      </c>
      <c r="F37">
        <v>110</v>
      </c>
    </row>
    <row r="38" spans="1:6" x14ac:dyDescent="0.3">
      <c r="B38" t="s">
        <v>109</v>
      </c>
      <c r="C38" s="4"/>
      <c r="D38" s="7">
        <f>D37*(1+D31)^-D36</f>
        <v>7.6199407989214851</v>
      </c>
      <c r="E38" s="7">
        <f t="shared" ref="E38:F38" si="0">E37*(1+E31)^-E36</f>
        <v>7.085288471621916</v>
      </c>
      <c r="F38" s="7">
        <f t="shared" si="0"/>
        <v>89.080106710497233</v>
      </c>
    </row>
    <row r="39" spans="1:6" x14ac:dyDescent="0.3">
      <c r="B39" t="s">
        <v>110</v>
      </c>
      <c r="D39" s="7">
        <f>D37*(1+D32)^-D36</f>
        <v>7.5939015129388387</v>
      </c>
      <c r="E39" s="7">
        <f t="shared" ref="E39:F39" si="1">E37*(1+E32)^-E36</f>
        <v>7.0348827206492999</v>
      </c>
      <c r="F39" s="7">
        <f t="shared" si="1"/>
        <v>88.066574525394572</v>
      </c>
    </row>
    <row r="41" spans="1:6" x14ac:dyDescent="0.3">
      <c r="B41" t="s">
        <v>111</v>
      </c>
      <c r="C41" s="7">
        <f>SUM(C38:F38)</f>
        <v>103.78533598104063</v>
      </c>
    </row>
    <row r="42" spans="1:6" x14ac:dyDescent="0.3">
      <c r="B42" t="s">
        <v>112</v>
      </c>
      <c r="C42" s="7">
        <f>SUM(C39:F39)</f>
        <v>102.69535875898271</v>
      </c>
    </row>
    <row r="44" spans="1:6" x14ac:dyDescent="0.3">
      <c r="A44" t="s">
        <v>113</v>
      </c>
      <c r="B44" s="1" t="s">
        <v>114</v>
      </c>
    </row>
    <row r="45" spans="1:6" x14ac:dyDescent="0.3">
      <c r="B45" t="s">
        <v>2</v>
      </c>
      <c r="C45">
        <v>0</v>
      </c>
      <c r="D45">
        <v>1</v>
      </c>
      <c r="E45">
        <v>2</v>
      </c>
      <c r="F45">
        <v>3</v>
      </c>
    </row>
    <row r="46" spans="1:6" x14ac:dyDescent="0.3">
      <c r="B46" t="s">
        <v>57</v>
      </c>
      <c r="C46" s="7">
        <f>-C41</f>
        <v>-103.78533598104063</v>
      </c>
      <c r="D46">
        <v>8</v>
      </c>
      <c r="E46">
        <v>8</v>
      </c>
      <c r="F46">
        <v>110</v>
      </c>
    </row>
    <row r="47" spans="1:6" x14ac:dyDescent="0.3">
      <c r="B47" t="s">
        <v>57</v>
      </c>
      <c r="C47" s="7">
        <f>-C42</f>
        <v>-102.69535875898271</v>
      </c>
      <c r="D47">
        <v>8</v>
      </c>
      <c r="E47">
        <v>8</v>
      </c>
      <c r="F47">
        <v>110</v>
      </c>
    </row>
    <row r="49" spans="2:3" x14ac:dyDescent="0.3">
      <c r="B49" s="1" t="s">
        <v>115</v>
      </c>
      <c r="C49" s="13">
        <f>IRR(C46:F46)</f>
        <v>7.1740493501272651E-2</v>
      </c>
    </row>
    <row r="50" spans="2:3" x14ac:dyDescent="0.3">
      <c r="B50" s="1" t="s">
        <v>116</v>
      </c>
      <c r="C50" s="13">
        <f>IRR(C47:F47)</f>
        <v>7.5806048757846911E-2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53241-9641-453D-9B87-AA5945B8EF57}">
  <dimension ref="B2:O9"/>
  <sheetViews>
    <sheetView zoomScale="130" zoomScaleNormal="130" workbookViewId="0">
      <selection activeCell="A10" sqref="A10"/>
    </sheetView>
  </sheetViews>
  <sheetFormatPr defaultRowHeight="15.05" x14ac:dyDescent="0.3"/>
  <cols>
    <col min="2" max="2" width="15.6640625" customWidth="1"/>
    <col min="3" max="3" width="9.109375" customWidth="1"/>
    <col min="12" max="12" width="16.109375" bestFit="1" customWidth="1"/>
  </cols>
  <sheetData>
    <row r="2" spans="2:15" ht="15.75" x14ac:dyDescent="0.3">
      <c r="B2" s="2" t="s">
        <v>118</v>
      </c>
    </row>
    <row r="3" spans="2:15" x14ac:dyDescent="0.3">
      <c r="B3" t="s">
        <v>2</v>
      </c>
      <c r="C3">
        <v>0</v>
      </c>
      <c r="D3">
        <v>1</v>
      </c>
      <c r="E3">
        <v>2</v>
      </c>
      <c r="F3">
        <v>3</v>
      </c>
      <c r="G3">
        <v>4</v>
      </c>
      <c r="H3">
        <v>5</v>
      </c>
      <c r="L3" t="s">
        <v>125</v>
      </c>
      <c r="M3" t="s">
        <v>126</v>
      </c>
      <c r="N3" t="s">
        <v>127</v>
      </c>
      <c r="O3" t="s">
        <v>128</v>
      </c>
    </row>
    <row r="4" spans="2:15" x14ac:dyDescent="0.3">
      <c r="B4" t="s">
        <v>119</v>
      </c>
      <c r="C4">
        <v>-11840</v>
      </c>
      <c r="D4">
        <v>1230</v>
      </c>
      <c r="E4">
        <v>1680</v>
      </c>
      <c r="F4">
        <v>4350</v>
      </c>
      <c r="G4">
        <v>10240</v>
      </c>
      <c r="H4">
        <v>2200</v>
      </c>
      <c r="J4" t="s">
        <v>123</v>
      </c>
      <c r="L4">
        <v>1.65</v>
      </c>
      <c r="M4">
        <v>400</v>
      </c>
      <c r="N4">
        <f>M4*L4</f>
        <v>660</v>
      </c>
      <c r="O4">
        <f>N4*(5^0.5)</f>
        <v>1475.8048651498614</v>
      </c>
    </row>
    <row r="5" spans="2:15" x14ac:dyDescent="0.3">
      <c r="B5" t="s">
        <v>120</v>
      </c>
      <c r="C5" s="4">
        <v>0.1</v>
      </c>
      <c r="J5" s="4" t="s">
        <v>124</v>
      </c>
      <c r="L5">
        <v>1.28</v>
      </c>
      <c r="M5">
        <v>400</v>
      </c>
      <c r="N5">
        <f>M5*L5</f>
        <v>512</v>
      </c>
      <c r="O5">
        <f>N5*(5^0.5)</f>
        <v>1144.8668044798924</v>
      </c>
    </row>
    <row r="6" spans="2:15" x14ac:dyDescent="0.3">
      <c r="B6" s="1" t="s">
        <v>121</v>
      </c>
      <c r="C6" s="13">
        <f>IRR(C4:H4)</f>
        <v>0.15879646237848366</v>
      </c>
    </row>
    <row r="7" spans="2:15" x14ac:dyDescent="0.3">
      <c r="B7" t="s">
        <v>122</v>
      </c>
      <c r="C7" s="5">
        <f>MIRR(C4:H4,C5,C5)</f>
        <v>0.13967491403990806</v>
      </c>
    </row>
    <row r="8" spans="2:15" x14ac:dyDescent="0.3">
      <c r="B8" t="s">
        <v>123</v>
      </c>
      <c r="C8" s="7">
        <f>O4</f>
        <v>1475.8048651498614</v>
      </c>
    </row>
    <row r="9" spans="2:15" x14ac:dyDescent="0.3">
      <c r="B9" s="4" t="s">
        <v>124</v>
      </c>
      <c r="C9" s="7">
        <f>O5</f>
        <v>1144.8668044798924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08BBA-131F-430D-B0D0-481894664C13}">
  <dimension ref="B2:N29"/>
  <sheetViews>
    <sheetView topLeftCell="H1" zoomScale="125" workbookViewId="0">
      <selection activeCell="C22" sqref="C22"/>
    </sheetView>
  </sheetViews>
  <sheetFormatPr defaultRowHeight="15.05" x14ac:dyDescent="0.3"/>
  <cols>
    <col min="2" max="2" width="16.88671875" bestFit="1" customWidth="1"/>
    <col min="3" max="3" width="16.5546875" bestFit="1" customWidth="1"/>
    <col min="9" max="9" width="12.109375" bestFit="1" customWidth="1"/>
  </cols>
  <sheetData>
    <row r="2" spans="2:14" ht="18.350000000000001" x14ac:dyDescent="0.35">
      <c r="B2" s="14" t="s">
        <v>129</v>
      </c>
      <c r="D2">
        <v>1000</v>
      </c>
      <c r="I2" s="1" t="s">
        <v>131</v>
      </c>
    </row>
    <row r="3" spans="2:14" x14ac:dyDescent="0.3">
      <c r="B3" t="s">
        <v>2</v>
      </c>
      <c r="C3">
        <v>0</v>
      </c>
      <c r="D3">
        <v>1</v>
      </c>
      <c r="E3">
        <v>2</v>
      </c>
      <c r="F3">
        <v>3</v>
      </c>
      <c r="G3">
        <v>4</v>
      </c>
      <c r="I3" t="s">
        <v>2</v>
      </c>
      <c r="J3">
        <v>0</v>
      </c>
      <c r="K3">
        <v>1</v>
      </c>
      <c r="L3">
        <v>2</v>
      </c>
      <c r="M3">
        <v>3</v>
      </c>
      <c r="N3">
        <v>4</v>
      </c>
    </row>
    <row r="4" spans="2:14" x14ac:dyDescent="0.3">
      <c r="B4" t="s">
        <v>57</v>
      </c>
      <c r="D4">
        <v>28500</v>
      </c>
      <c r="E4">
        <v>36700</v>
      </c>
      <c r="F4">
        <v>44400</v>
      </c>
      <c r="G4">
        <v>50900</v>
      </c>
      <c r="I4" t="s">
        <v>13</v>
      </c>
      <c r="K4">
        <v>6000</v>
      </c>
      <c r="L4">
        <f>K4*(1+K7)</f>
        <v>6480</v>
      </c>
      <c r="M4">
        <f t="shared" ref="M4:N4" si="0">L4*(1+L7)</f>
        <v>6868.8</v>
      </c>
      <c r="N4">
        <f t="shared" si="0"/>
        <v>7212.2400000000007</v>
      </c>
    </row>
    <row r="5" spans="2:14" x14ac:dyDescent="0.3">
      <c r="B5" t="s">
        <v>16</v>
      </c>
      <c r="C5">
        <v>-150000</v>
      </c>
      <c r="I5" t="s">
        <v>14</v>
      </c>
      <c r="J5">
        <f>-K4+J4</f>
        <v>-6000</v>
      </c>
      <c r="K5">
        <f t="shared" ref="K5:N5" si="1">-L4+K4</f>
        <v>-480</v>
      </c>
      <c r="L5">
        <f t="shared" si="1"/>
        <v>-388.80000000000018</v>
      </c>
      <c r="M5">
        <f t="shared" si="1"/>
        <v>-343.44000000000051</v>
      </c>
      <c r="N5">
        <f t="shared" si="1"/>
        <v>7212.2400000000007</v>
      </c>
    </row>
    <row r="6" spans="2:14" x14ac:dyDescent="0.3">
      <c r="B6" t="s">
        <v>130</v>
      </c>
      <c r="G6">
        <v>45000</v>
      </c>
    </row>
    <row r="7" spans="2:14" x14ac:dyDescent="0.3">
      <c r="B7" t="s">
        <v>131</v>
      </c>
      <c r="C7">
        <f>J5</f>
        <v>-6000</v>
      </c>
      <c r="D7">
        <f t="shared" ref="D7:G7" si="2">K5</f>
        <v>-480</v>
      </c>
      <c r="E7">
        <f t="shared" si="2"/>
        <v>-388.80000000000018</v>
      </c>
      <c r="F7">
        <f t="shared" si="2"/>
        <v>-343.44000000000051</v>
      </c>
      <c r="G7">
        <f t="shared" si="2"/>
        <v>7212.2400000000007</v>
      </c>
      <c r="I7" t="s">
        <v>132</v>
      </c>
      <c r="K7" s="4">
        <v>0.08</v>
      </c>
      <c r="L7" s="4">
        <v>0.06</v>
      </c>
      <c r="M7" s="4">
        <v>0.05</v>
      </c>
      <c r="N7" s="4">
        <v>0.04</v>
      </c>
    </row>
    <row r="9" spans="2:14" x14ac:dyDescent="0.3">
      <c r="B9" t="s">
        <v>18</v>
      </c>
      <c r="C9">
        <f>SUM(C4:C8)</f>
        <v>-156000</v>
      </c>
      <c r="D9">
        <f t="shared" ref="D9:G9" si="3">SUM(D4:D8)</f>
        <v>28020</v>
      </c>
      <c r="E9">
        <f t="shared" si="3"/>
        <v>36311.199999999997</v>
      </c>
      <c r="F9">
        <f t="shared" si="3"/>
        <v>44056.56</v>
      </c>
      <c r="G9">
        <f t="shared" si="3"/>
        <v>103112.24</v>
      </c>
    </row>
    <row r="10" spans="2:14" x14ac:dyDescent="0.3">
      <c r="B10" t="s">
        <v>120</v>
      </c>
      <c r="C10" s="5">
        <f>J13</f>
        <v>0.11979999999999999</v>
      </c>
      <c r="I10" t="s">
        <v>133</v>
      </c>
      <c r="J10">
        <v>1.1399999999999999</v>
      </c>
    </row>
    <row r="11" spans="2:14" x14ac:dyDescent="0.3">
      <c r="B11" t="s">
        <v>28</v>
      </c>
      <c r="C11" s="7">
        <f>NPV(C10,D9:G9)+C9</f>
        <v>-5068.3523585441872</v>
      </c>
      <c r="I11" t="s">
        <v>134</v>
      </c>
      <c r="J11" s="4">
        <v>0.11</v>
      </c>
    </row>
    <row r="12" spans="2:14" x14ac:dyDescent="0.3">
      <c r="I12" t="s">
        <v>38</v>
      </c>
      <c r="J12" s="4">
        <v>0.04</v>
      </c>
    </row>
    <row r="13" spans="2:14" x14ac:dyDescent="0.3">
      <c r="I13" t="s">
        <v>135</v>
      </c>
      <c r="J13" s="5">
        <f>J12+J10*(J11-J12)</f>
        <v>0.11979999999999999</v>
      </c>
    </row>
    <row r="14" spans="2:14" x14ac:dyDescent="0.3">
      <c r="B14" t="s">
        <v>2</v>
      </c>
      <c r="C14">
        <v>0</v>
      </c>
      <c r="D14">
        <v>1</v>
      </c>
      <c r="E14">
        <v>2</v>
      </c>
      <c r="F14">
        <v>3</v>
      </c>
      <c r="G14">
        <v>4</v>
      </c>
    </row>
    <row r="15" spans="2:14" x14ac:dyDescent="0.3">
      <c r="B15" t="s">
        <v>89</v>
      </c>
      <c r="C15" s="7">
        <f>-80000*3/97</f>
        <v>-2474.2268041237112</v>
      </c>
    </row>
    <row r="16" spans="2:14" x14ac:dyDescent="0.3">
      <c r="B16" t="s">
        <v>35</v>
      </c>
      <c r="D16">
        <f>80000*(8%-3.1%)</f>
        <v>3920</v>
      </c>
      <c r="E16">
        <f t="shared" ref="E16:G16" si="4">80000*(8%-3.1%)</f>
        <v>3920</v>
      </c>
      <c r="F16">
        <f t="shared" si="4"/>
        <v>3920</v>
      </c>
      <c r="G16">
        <f t="shared" si="4"/>
        <v>3920</v>
      </c>
      <c r="I16" s="1" t="s">
        <v>136</v>
      </c>
    </row>
    <row r="17" spans="2:14" x14ac:dyDescent="0.3">
      <c r="B17" t="s">
        <v>136</v>
      </c>
      <c r="D17">
        <f>K29</f>
        <v>2424</v>
      </c>
      <c r="E17">
        <f t="shared" ref="E17:G17" si="5">L29</f>
        <v>2051.1730485172138</v>
      </c>
      <c r="F17">
        <f t="shared" si="5"/>
        <v>1648.5199409158056</v>
      </c>
      <c r="G17">
        <f t="shared" si="5"/>
        <v>1213.6545847062841</v>
      </c>
      <c r="I17" t="s">
        <v>137</v>
      </c>
    </row>
    <row r="18" spans="2:14" x14ac:dyDescent="0.3">
      <c r="B18" t="s">
        <v>94</v>
      </c>
      <c r="D18">
        <f>D16*-30%</f>
        <v>-1176</v>
      </c>
      <c r="E18">
        <f t="shared" ref="E18:G18" si="6">E16*-30%</f>
        <v>-1176</v>
      </c>
      <c r="F18">
        <f t="shared" si="6"/>
        <v>-1176</v>
      </c>
      <c r="G18">
        <f t="shared" si="6"/>
        <v>-1176</v>
      </c>
      <c r="I18" t="s">
        <v>2</v>
      </c>
      <c r="J18">
        <v>0</v>
      </c>
      <c r="K18">
        <v>1</v>
      </c>
      <c r="L18">
        <v>2</v>
      </c>
      <c r="M18">
        <v>3</v>
      </c>
      <c r="N18">
        <v>4</v>
      </c>
    </row>
    <row r="19" spans="2:14" x14ac:dyDescent="0.3">
      <c r="B19" t="s">
        <v>145</v>
      </c>
      <c r="C19" s="7">
        <f>SUM(C15:C18)</f>
        <v>-2474.2268041237112</v>
      </c>
      <c r="D19" s="7">
        <f t="shared" ref="D19:G19" si="7">SUM(D15:D18)</f>
        <v>5168</v>
      </c>
      <c r="E19" s="7">
        <f t="shared" si="7"/>
        <v>4795.1730485172138</v>
      </c>
      <c r="F19" s="7">
        <f t="shared" si="7"/>
        <v>4392.5199409158058</v>
      </c>
      <c r="G19" s="7">
        <f t="shared" si="7"/>
        <v>3957.6545847062844</v>
      </c>
      <c r="I19" t="s">
        <v>138</v>
      </c>
      <c r="K19">
        <v>70000</v>
      </c>
      <c r="L19">
        <f>K22</f>
        <v>54465.543688217258</v>
      </c>
      <c r="M19">
        <f t="shared" ref="M19:N19" si="8">L22</f>
        <v>37688.330871491897</v>
      </c>
      <c r="N19">
        <f t="shared" si="8"/>
        <v>19568.941029428504</v>
      </c>
    </row>
    <row r="20" spans="2:14" x14ac:dyDescent="0.3">
      <c r="B20" s="1" t="s">
        <v>146</v>
      </c>
      <c r="C20" s="7">
        <f>NPV(C21,D19:G19)+C19</f>
        <v>12817.964600858975</v>
      </c>
      <c r="I20" t="s">
        <v>139</v>
      </c>
      <c r="K20">
        <f>K19*8%</f>
        <v>5600</v>
      </c>
      <c r="L20">
        <f t="shared" ref="L20:N20" si="9">L19*8%</f>
        <v>4357.2434950573806</v>
      </c>
      <c r="M20">
        <f t="shared" si="9"/>
        <v>3015.066469719352</v>
      </c>
      <c r="N20">
        <f t="shared" si="9"/>
        <v>1565.5152823542803</v>
      </c>
    </row>
    <row r="21" spans="2:14" x14ac:dyDescent="0.3">
      <c r="B21" t="s">
        <v>147</v>
      </c>
      <c r="C21" s="4">
        <v>0.08</v>
      </c>
      <c r="I21" t="s">
        <v>140</v>
      </c>
      <c r="K21">
        <f>-$J$24</f>
        <v>-21134.456311782742</v>
      </c>
      <c r="L21">
        <f t="shared" ref="L21:N21" si="10">-$J$24</f>
        <v>-21134.456311782742</v>
      </c>
      <c r="M21">
        <f t="shared" si="10"/>
        <v>-21134.456311782742</v>
      </c>
      <c r="N21">
        <f t="shared" si="10"/>
        <v>-21134.456311782742</v>
      </c>
    </row>
    <row r="22" spans="2:14" x14ac:dyDescent="0.3">
      <c r="I22" t="s">
        <v>141</v>
      </c>
      <c r="K22">
        <f>SUM(K19:K21)</f>
        <v>54465.543688217258</v>
      </c>
      <c r="L22">
        <f>SUM(L19:L21)</f>
        <v>37688.330871491897</v>
      </c>
      <c r="M22">
        <f>SUM(M19:M21)</f>
        <v>19568.941029428504</v>
      </c>
      <c r="N22" s="7">
        <f>SUM(N19:N21)</f>
        <v>4.3655745685100555E-11</v>
      </c>
    </row>
    <row r="23" spans="2:14" x14ac:dyDescent="0.3">
      <c r="B23" s="1" t="s">
        <v>40</v>
      </c>
      <c r="C23" s="7">
        <f>C20+C11</f>
        <v>7749.6122423147881</v>
      </c>
    </row>
    <row r="24" spans="2:14" x14ac:dyDescent="0.3">
      <c r="I24" t="s">
        <v>140</v>
      </c>
      <c r="J24">
        <f>K19/J25</f>
        <v>21134.456311782742</v>
      </c>
    </row>
    <row r="25" spans="2:14" x14ac:dyDescent="0.3">
      <c r="I25" t="s">
        <v>142</v>
      </c>
      <c r="J25" s="7">
        <f>(1-(1.08^-4))/0.08</f>
        <v>3.3121268400443338</v>
      </c>
    </row>
    <row r="27" spans="2:14" x14ac:dyDescent="0.3">
      <c r="I27" t="s">
        <v>143</v>
      </c>
      <c r="K27">
        <f>K20*30%</f>
        <v>1680</v>
      </c>
      <c r="L27">
        <f t="shared" ref="L27:N27" si="11">L20*30%</f>
        <v>1307.1730485172141</v>
      </c>
      <c r="M27">
        <f t="shared" si="11"/>
        <v>904.51994091580559</v>
      </c>
      <c r="N27">
        <f t="shared" si="11"/>
        <v>469.65458470628408</v>
      </c>
    </row>
    <row r="28" spans="2:14" x14ac:dyDescent="0.3">
      <c r="I28" t="s">
        <v>144</v>
      </c>
      <c r="K28">
        <f>80000*30%*3.1%</f>
        <v>744</v>
      </c>
      <c r="L28">
        <f t="shared" ref="L28:N28" si="12">80000*30%*3.1%</f>
        <v>744</v>
      </c>
      <c r="M28">
        <f t="shared" si="12"/>
        <v>744</v>
      </c>
      <c r="N28">
        <f t="shared" si="12"/>
        <v>744</v>
      </c>
    </row>
    <row r="29" spans="2:14" x14ac:dyDescent="0.3">
      <c r="I29" t="s">
        <v>145</v>
      </c>
      <c r="K29">
        <f>SUM(K27:K28)</f>
        <v>2424</v>
      </c>
      <c r="L29">
        <f t="shared" ref="L29:N29" si="13">SUM(L27:L28)</f>
        <v>2051.1730485172138</v>
      </c>
      <c r="M29">
        <f t="shared" si="13"/>
        <v>1648.5199409158056</v>
      </c>
      <c r="N29">
        <f t="shared" si="13"/>
        <v>1213.6545847062841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0217F-6CF0-445F-A420-DC80E20E864B}">
  <dimension ref="B2:G20"/>
  <sheetViews>
    <sheetView zoomScale="96" workbookViewId="0">
      <selection activeCell="G8" sqref="G8"/>
    </sheetView>
  </sheetViews>
  <sheetFormatPr defaultRowHeight="15.05" x14ac:dyDescent="0.3"/>
  <cols>
    <col min="2" max="2" width="20.109375" bestFit="1" customWidth="1"/>
    <col min="3" max="3" width="12" bestFit="1" customWidth="1"/>
  </cols>
  <sheetData>
    <row r="2" spans="2:7" ht="15.75" x14ac:dyDescent="0.3">
      <c r="B2" s="2" t="s">
        <v>149</v>
      </c>
    </row>
    <row r="3" spans="2:7" ht="15.75" x14ac:dyDescent="0.3">
      <c r="B3" s="2"/>
    </row>
    <row r="4" spans="2:7" x14ac:dyDescent="0.3">
      <c r="B4" t="s">
        <v>148</v>
      </c>
      <c r="C4">
        <v>200000</v>
      </c>
    </row>
    <row r="5" spans="2:7" x14ac:dyDescent="0.3">
      <c r="B5" t="s">
        <v>150</v>
      </c>
      <c r="C5">
        <f>C4*90%</f>
        <v>180000</v>
      </c>
    </row>
    <row r="7" spans="2:7" x14ac:dyDescent="0.3">
      <c r="C7" t="s">
        <v>155</v>
      </c>
      <c r="D7" t="s">
        <v>156</v>
      </c>
      <c r="E7" t="s">
        <v>157</v>
      </c>
      <c r="G7" t="s">
        <v>163</v>
      </c>
    </row>
    <row r="8" spans="2:7" x14ac:dyDescent="0.3">
      <c r="B8" t="s">
        <v>151</v>
      </c>
      <c r="C8" s="4">
        <v>0.6</v>
      </c>
      <c r="D8" s="5">
        <f>9.5%+1.5%</f>
        <v>0.11</v>
      </c>
      <c r="E8">
        <f>C8*$C$5*D8</f>
        <v>11880</v>
      </c>
    </row>
    <row r="9" spans="2:7" x14ac:dyDescent="0.3">
      <c r="B9" t="s">
        <v>152</v>
      </c>
      <c r="C9" s="4">
        <v>0.15</v>
      </c>
      <c r="D9" s="4">
        <v>0.12</v>
      </c>
      <c r="E9">
        <f t="shared" ref="E9:E10" si="0">C9*$C$5*D9</f>
        <v>3240</v>
      </c>
    </row>
    <row r="10" spans="2:7" x14ac:dyDescent="0.3">
      <c r="B10" t="s">
        <v>153</v>
      </c>
      <c r="C10" s="4">
        <v>0.15</v>
      </c>
      <c r="D10" s="4">
        <v>0.13</v>
      </c>
      <c r="E10">
        <f t="shared" si="0"/>
        <v>3510</v>
      </c>
    </row>
    <row r="11" spans="2:7" x14ac:dyDescent="0.3">
      <c r="B11" t="s">
        <v>154</v>
      </c>
      <c r="C11" s="4">
        <v>0.1</v>
      </c>
      <c r="E11" s="7">
        <f>C13-SUM(E8:E10)-C14</f>
        <v>3170</v>
      </c>
    </row>
    <row r="13" spans="2:7" x14ac:dyDescent="0.3">
      <c r="B13" t="s">
        <v>158</v>
      </c>
      <c r="C13">
        <f>C4*11%</f>
        <v>22000</v>
      </c>
      <c r="E13" t="s">
        <v>162</v>
      </c>
      <c r="G13">
        <f>C4*(1.11^11)</f>
        <v>630351.45890732203</v>
      </c>
    </row>
    <row r="14" spans="2:7" x14ac:dyDescent="0.3">
      <c r="B14" t="s">
        <v>159</v>
      </c>
      <c r="C14" s="7">
        <v>200</v>
      </c>
    </row>
    <row r="16" spans="2:7" x14ac:dyDescent="0.3">
      <c r="B16" s="1" t="s">
        <v>160</v>
      </c>
    </row>
    <row r="17" spans="2:7" x14ac:dyDescent="0.3">
      <c r="B17" t="s">
        <v>158</v>
      </c>
      <c r="C17">
        <f>C13*95%</f>
        <v>20900</v>
      </c>
      <c r="E17" t="s">
        <v>162</v>
      </c>
      <c r="G17">
        <f>G13*95%</f>
        <v>598833.88596195588</v>
      </c>
    </row>
    <row r="18" spans="2:7" x14ac:dyDescent="0.3">
      <c r="B18" t="s">
        <v>159</v>
      </c>
      <c r="C18" s="7">
        <v>200</v>
      </c>
    </row>
    <row r="20" spans="2:7" x14ac:dyDescent="0.3">
      <c r="B20" t="s">
        <v>161</v>
      </c>
      <c r="C20" s="7">
        <f>C17-E8-E9-E10-C18</f>
        <v>2070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CF1CB-F956-4121-BF9A-C41CD92AF81F}">
  <dimension ref="B2:H31"/>
  <sheetViews>
    <sheetView topLeftCell="B1" zoomScale="114" workbookViewId="0">
      <selection activeCell="I21" sqref="I21"/>
    </sheetView>
  </sheetViews>
  <sheetFormatPr defaultRowHeight="15.05" x14ac:dyDescent="0.3"/>
  <cols>
    <col min="6" max="6" width="9.5546875" customWidth="1"/>
    <col min="7" max="7" width="11.109375" bestFit="1" customWidth="1"/>
    <col min="8" max="8" width="7.77734375" bestFit="1" customWidth="1"/>
  </cols>
  <sheetData>
    <row r="2" spans="2:8" x14ac:dyDescent="0.3">
      <c r="C2" t="s">
        <v>164</v>
      </c>
    </row>
    <row r="4" spans="2:8" x14ac:dyDescent="0.3">
      <c r="E4" t="s">
        <v>170</v>
      </c>
      <c r="F4" t="s">
        <v>166</v>
      </c>
      <c r="G4" t="s">
        <v>167</v>
      </c>
      <c r="H4" t="s">
        <v>168</v>
      </c>
    </row>
    <row r="5" spans="2:8" x14ac:dyDescent="0.3">
      <c r="C5" s="1" t="s">
        <v>165</v>
      </c>
      <c r="E5">
        <f>5.28*G5</f>
        <v>3960</v>
      </c>
      <c r="F5">
        <f>381.9*80%</f>
        <v>305.52</v>
      </c>
      <c r="G5">
        <f>375/0.5</f>
        <v>750</v>
      </c>
      <c r="H5" s="7">
        <f>E5/F5</f>
        <v>12.961508248232523</v>
      </c>
    </row>
    <row r="6" spans="2:8" x14ac:dyDescent="0.3">
      <c r="C6" s="1" t="s">
        <v>169</v>
      </c>
      <c r="E6">
        <f>F6*H6</f>
        <v>1478.2340926944228</v>
      </c>
      <c r="F6">
        <f>(116.3+2.5)*80%</f>
        <v>95.04</v>
      </c>
      <c r="G6">
        <f>35/0.25</f>
        <v>140</v>
      </c>
      <c r="H6" s="7">
        <f>H5*1.2</f>
        <v>15.553809897879027</v>
      </c>
    </row>
    <row r="7" spans="2:8" x14ac:dyDescent="0.3">
      <c r="C7" t="s">
        <v>171</v>
      </c>
      <c r="E7" t="s">
        <v>185</v>
      </c>
      <c r="F7">
        <f>(20.5*80%)+F6+F5</f>
        <v>416.96</v>
      </c>
      <c r="H7" s="7">
        <f>H5*1.1</f>
        <v>14.257659073055777</v>
      </c>
    </row>
    <row r="9" spans="2:8" x14ac:dyDescent="0.3">
      <c r="B9" s="1" t="s">
        <v>103</v>
      </c>
      <c r="C9" s="1" t="s">
        <v>172</v>
      </c>
    </row>
    <row r="10" spans="2:8" x14ac:dyDescent="0.3">
      <c r="F10" t="s">
        <v>174</v>
      </c>
      <c r="G10" t="s">
        <v>175</v>
      </c>
    </row>
    <row r="11" spans="2:8" x14ac:dyDescent="0.3">
      <c r="C11" t="s">
        <v>181</v>
      </c>
      <c r="F11" s="7" t="e">
        <f>E7-E5</f>
        <v>#VALUE!</v>
      </c>
      <c r="G11" s="7" t="e">
        <f>F11</f>
        <v>#VALUE!</v>
      </c>
    </row>
    <row r="12" spans="2:8" x14ac:dyDescent="0.3">
      <c r="C12" t="s">
        <v>173</v>
      </c>
      <c r="F12">
        <f>13.1*G6</f>
        <v>1834</v>
      </c>
      <c r="G12">
        <f>E6*1.3</f>
        <v>1921.7043205027496</v>
      </c>
    </row>
    <row r="14" spans="2:8" x14ac:dyDescent="0.3">
      <c r="C14" s="1" t="s">
        <v>176</v>
      </c>
      <c r="D14" s="1"/>
      <c r="E14" s="1"/>
      <c r="F14" s="11" t="e">
        <f>F11-F12</f>
        <v>#VALUE!</v>
      </c>
      <c r="G14" s="11" t="e">
        <f>G11-G12</f>
        <v>#VALUE!</v>
      </c>
    </row>
    <row r="15" spans="2:8" x14ac:dyDescent="0.3">
      <c r="C15" s="1" t="s">
        <v>177</v>
      </c>
      <c r="D15" s="1"/>
      <c r="E15" s="1"/>
      <c r="F15" s="13" t="e">
        <f>F14/E5</f>
        <v>#VALUE!</v>
      </c>
      <c r="G15" s="13" t="e">
        <f>G14/E5</f>
        <v>#VALUE!</v>
      </c>
    </row>
    <row r="18" spans="3:7" x14ac:dyDescent="0.3">
      <c r="C18" s="1" t="s">
        <v>178</v>
      </c>
    </row>
    <row r="19" spans="3:7" x14ac:dyDescent="0.3">
      <c r="F19" t="s">
        <v>174</v>
      </c>
      <c r="G19" t="s">
        <v>175</v>
      </c>
    </row>
    <row r="20" spans="3:7" x14ac:dyDescent="0.3">
      <c r="C20" t="s">
        <v>179</v>
      </c>
      <c r="F20" s="7">
        <f>F12</f>
        <v>1834</v>
      </c>
      <c r="G20" s="7">
        <f>G12</f>
        <v>1921.7043205027496</v>
      </c>
    </row>
    <row r="21" spans="3:7" x14ac:dyDescent="0.3">
      <c r="C21" t="s">
        <v>180</v>
      </c>
      <c r="F21">
        <f>E6</f>
        <v>1478.2340926944228</v>
      </c>
      <c r="G21">
        <f>F21</f>
        <v>1478.2340926944228</v>
      </c>
    </row>
    <row r="23" spans="3:7" x14ac:dyDescent="0.3">
      <c r="C23" s="1" t="s">
        <v>176</v>
      </c>
      <c r="D23" s="1"/>
      <c r="E23" s="1"/>
      <c r="F23" s="11">
        <f>F20-F21</f>
        <v>355.76590730557723</v>
      </c>
      <c r="G23" s="11">
        <f>G20-G21</f>
        <v>443.47022780832685</v>
      </c>
    </row>
    <row r="24" spans="3:7" x14ac:dyDescent="0.3">
      <c r="C24" s="1" t="s">
        <v>177</v>
      </c>
      <c r="D24" s="1"/>
      <c r="E24" s="1"/>
      <c r="F24" s="13">
        <f>F23/E6</f>
        <v>0.240669532020542</v>
      </c>
      <c r="G24" s="13">
        <f>G23/E6</f>
        <v>0.3</v>
      </c>
    </row>
    <row r="27" spans="3:7" x14ac:dyDescent="0.3">
      <c r="C27" t="s">
        <v>182</v>
      </c>
      <c r="G27" s="7">
        <f>G20/G6</f>
        <v>13.726459432162498</v>
      </c>
    </row>
    <row r="28" spans="3:7" x14ac:dyDescent="0.3">
      <c r="G28" s="7"/>
    </row>
    <row r="29" spans="3:7" x14ac:dyDescent="0.3">
      <c r="C29" t="s">
        <v>183</v>
      </c>
      <c r="G29" s="7">
        <f>5.28*(1+1.6%)</f>
        <v>5.3644800000000004</v>
      </c>
    </row>
    <row r="30" spans="3:7" x14ac:dyDescent="0.3">
      <c r="G30" s="7"/>
    </row>
    <row r="31" spans="3:7" x14ac:dyDescent="0.3">
      <c r="C31" s="1" t="s">
        <v>184</v>
      </c>
      <c r="D31" s="1"/>
      <c r="E31" s="1"/>
      <c r="F31" s="1"/>
      <c r="G31" s="11">
        <f>G27/G29</f>
        <v>2.5587679387680629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7EE92-0F6E-43AF-ABCB-87C4E2339347}">
  <dimension ref="B3:G17"/>
  <sheetViews>
    <sheetView topLeftCell="B1" zoomScale="150" workbookViewId="0">
      <selection activeCell="I9" sqref="I9"/>
    </sheetView>
  </sheetViews>
  <sheetFormatPr defaultRowHeight="15.05" x14ac:dyDescent="0.3"/>
  <sheetData>
    <row r="3" spans="2:7" x14ac:dyDescent="0.3">
      <c r="E3" t="s">
        <v>187</v>
      </c>
      <c r="F3" t="s">
        <v>188</v>
      </c>
      <c r="G3" t="s">
        <v>170</v>
      </c>
    </row>
    <row r="4" spans="2:7" x14ac:dyDescent="0.3">
      <c r="B4" t="s">
        <v>194</v>
      </c>
      <c r="E4">
        <v>10</v>
      </c>
      <c r="F4">
        <v>10</v>
      </c>
      <c r="G4">
        <f>E4*F4</f>
        <v>100</v>
      </c>
    </row>
    <row r="5" spans="2:7" x14ac:dyDescent="0.3">
      <c r="B5" t="s">
        <v>195</v>
      </c>
      <c r="E5">
        <v>8</v>
      </c>
      <c r="F5">
        <v>5</v>
      </c>
      <c r="G5">
        <f>E5*F5</f>
        <v>40</v>
      </c>
    </row>
    <row r="6" spans="2:7" x14ac:dyDescent="0.3">
      <c r="B6" t="s">
        <v>196</v>
      </c>
      <c r="G6">
        <v>20</v>
      </c>
    </row>
    <row r="7" spans="2:7" x14ac:dyDescent="0.3">
      <c r="B7" t="s">
        <v>192</v>
      </c>
      <c r="E7" s="7"/>
      <c r="G7">
        <f>G4+G5+G6</f>
        <v>160</v>
      </c>
    </row>
    <row r="9" spans="2:7" x14ac:dyDescent="0.3">
      <c r="B9" t="s">
        <v>197</v>
      </c>
      <c r="G9">
        <f>G5*25%</f>
        <v>10</v>
      </c>
    </row>
    <row r="10" spans="2:7" x14ac:dyDescent="0.3">
      <c r="B10" t="s">
        <v>189</v>
      </c>
      <c r="E10" s="7"/>
      <c r="F10">
        <v>4.55</v>
      </c>
      <c r="G10">
        <v>50</v>
      </c>
    </row>
    <row r="12" spans="2:7" x14ac:dyDescent="0.3">
      <c r="B12" s="1" t="s">
        <v>190</v>
      </c>
      <c r="E12" s="1" t="s">
        <v>193</v>
      </c>
    </row>
    <row r="13" spans="2:7" x14ac:dyDescent="0.3">
      <c r="B13" t="s">
        <v>186</v>
      </c>
      <c r="D13">
        <f>G7-G4</f>
        <v>60</v>
      </c>
      <c r="E13" t="s">
        <v>179</v>
      </c>
      <c r="G13">
        <f>G10</f>
        <v>50</v>
      </c>
    </row>
    <row r="14" spans="2:7" x14ac:dyDescent="0.3">
      <c r="B14" t="s">
        <v>179</v>
      </c>
      <c r="D14" s="7">
        <f>G10</f>
        <v>50</v>
      </c>
      <c r="E14" t="s">
        <v>186</v>
      </c>
      <c r="G14" s="7">
        <f>G5</f>
        <v>40</v>
      </c>
    </row>
    <row r="16" spans="2:7" x14ac:dyDescent="0.3">
      <c r="B16" t="s">
        <v>176</v>
      </c>
      <c r="D16">
        <f>D13-D14</f>
        <v>10</v>
      </c>
      <c r="E16" t="s">
        <v>176</v>
      </c>
      <c r="G16">
        <f>G13-G14</f>
        <v>10</v>
      </c>
    </row>
    <row r="17" spans="2:7" x14ac:dyDescent="0.3">
      <c r="B17" t="s">
        <v>191</v>
      </c>
      <c r="D17" s="5">
        <f>D16/G4</f>
        <v>0.1</v>
      </c>
      <c r="E17" t="s">
        <v>191</v>
      </c>
      <c r="G17" s="5">
        <f>G16/G5</f>
        <v>0.25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94322-6918-4D5A-83C1-36A98FFD3388}">
  <dimension ref="B2:H51"/>
  <sheetViews>
    <sheetView zoomScale="130" workbookViewId="0">
      <selection activeCell="H6" sqref="H6"/>
    </sheetView>
  </sheetViews>
  <sheetFormatPr defaultRowHeight="15.05" x14ac:dyDescent="0.3"/>
  <cols>
    <col min="2" max="2" width="23.77734375" bestFit="1" customWidth="1"/>
    <col min="3" max="3" width="10.6640625" bestFit="1" customWidth="1"/>
    <col min="5" max="5" width="9.5546875" bestFit="1" customWidth="1"/>
  </cols>
  <sheetData>
    <row r="2" spans="2:4" x14ac:dyDescent="0.3">
      <c r="B2" s="1" t="s">
        <v>198</v>
      </c>
    </row>
    <row r="4" spans="2:4" x14ac:dyDescent="0.3">
      <c r="B4" t="s">
        <v>199</v>
      </c>
      <c r="D4">
        <v>192.3</v>
      </c>
    </row>
    <row r="5" spans="2:4" x14ac:dyDescent="0.3">
      <c r="B5" t="s">
        <v>200</v>
      </c>
      <c r="D5">
        <f>D4*-20%</f>
        <v>-38.460000000000008</v>
      </c>
    </row>
    <row r="6" spans="2:4" x14ac:dyDescent="0.3">
      <c r="B6" t="s">
        <v>201</v>
      </c>
      <c r="D6">
        <v>112</v>
      </c>
    </row>
    <row r="7" spans="2:4" x14ac:dyDescent="0.3">
      <c r="B7" t="s">
        <v>202</v>
      </c>
      <c r="D7">
        <v>-98.2</v>
      </c>
    </row>
    <row r="9" spans="2:4" x14ac:dyDescent="0.3">
      <c r="B9" s="1" t="s">
        <v>203</v>
      </c>
      <c r="C9" s="1"/>
      <c r="D9" s="1">
        <f>SUM(D4:D8)</f>
        <v>167.64000000000004</v>
      </c>
    </row>
    <row r="11" spans="2:4" x14ac:dyDescent="0.3">
      <c r="B11" t="s">
        <v>204</v>
      </c>
      <c r="D11" s="5">
        <f>(91/83.3)^(1/3)-1</f>
        <v>2.9908866411286095E-2</v>
      </c>
    </row>
    <row r="13" spans="2:4" x14ac:dyDescent="0.3">
      <c r="B13" t="s">
        <v>205</v>
      </c>
      <c r="D13">
        <f>D9*(1+D11)/(10%-D11)</f>
        <v>2463.2776433364579</v>
      </c>
    </row>
    <row r="15" spans="2:4" x14ac:dyDescent="0.3">
      <c r="B15" s="1" t="s">
        <v>206</v>
      </c>
      <c r="C15" s="1"/>
      <c r="D15" s="11">
        <f>D13*40%</f>
        <v>985.31105733458321</v>
      </c>
    </row>
    <row r="18" spans="2:8" x14ac:dyDescent="0.3">
      <c r="B18" s="1" t="s">
        <v>207</v>
      </c>
    </row>
    <row r="20" spans="2:8" x14ac:dyDescent="0.3">
      <c r="B20" t="s">
        <v>77</v>
      </c>
      <c r="C20">
        <v>1</v>
      </c>
      <c r="D20">
        <v>2</v>
      </c>
      <c r="E20">
        <v>3</v>
      </c>
      <c r="F20">
        <v>4</v>
      </c>
    </row>
    <row r="21" spans="2:8" x14ac:dyDescent="0.3">
      <c r="B21" t="s">
        <v>208</v>
      </c>
      <c r="C21">
        <v>4200</v>
      </c>
      <c r="D21" s="7">
        <f>C21*1.07</f>
        <v>4494</v>
      </c>
      <c r="E21" s="7">
        <f t="shared" ref="E21:F21" si="0">D21*1.07</f>
        <v>4808.58</v>
      </c>
      <c r="F21" s="7">
        <f t="shared" si="0"/>
        <v>5145.1806000000006</v>
      </c>
    </row>
    <row r="22" spans="2:8" x14ac:dyDescent="0.3">
      <c r="B22" t="s">
        <v>209</v>
      </c>
      <c r="C22">
        <f>C21*20%</f>
        <v>840</v>
      </c>
      <c r="D22">
        <f t="shared" ref="D22:F22" si="1">D21*20%</f>
        <v>898.80000000000007</v>
      </c>
      <c r="E22">
        <f t="shared" si="1"/>
        <v>961.71600000000001</v>
      </c>
      <c r="F22">
        <f t="shared" si="1"/>
        <v>1029.0361200000002</v>
      </c>
    </row>
    <row r="23" spans="2:8" x14ac:dyDescent="0.3">
      <c r="B23" t="s">
        <v>43</v>
      </c>
      <c r="C23">
        <f>C22*-20%</f>
        <v>-168</v>
      </c>
      <c r="D23">
        <f t="shared" ref="D23:F23" si="2">D22*-20%</f>
        <v>-179.76000000000002</v>
      </c>
      <c r="E23">
        <f t="shared" si="2"/>
        <v>-192.34320000000002</v>
      </c>
      <c r="F23">
        <f t="shared" si="2"/>
        <v>-205.80722400000005</v>
      </c>
    </row>
    <row r="24" spans="2:8" x14ac:dyDescent="0.3">
      <c r="B24" t="s">
        <v>210</v>
      </c>
      <c r="C24">
        <v>-200</v>
      </c>
      <c r="D24">
        <f>(-D21+C21)*64%</f>
        <v>-188.16</v>
      </c>
      <c r="E24">
        <f t="shared" ref="E24:F24" si="3">(-E21+D21)*64%</f>
        <v>-201.33119999999997</v>
      </c>
      <c r="F24">
        <f t="shared" si="3"/>
        <v>-215.42438400000043</v>
      </c>
    </row>
    <row r="26" spans="2:8" x14ac:dyDescent="0.3">
      <c r="B26" t="s">
        <v>211</v>
      </c>
      <c r="C26">
        <f>SUM(C22:C25)</f>
        <v>472</v>
      </c>
      <c r="D26">
        <f t="shared" ref="D26:F26" si="4">SUM(D22:D25)</f>
        <v>530.88000000000011</v>
      </c>
      <c r="E26">
        <f t="shared" si="4"/>
        <v>568.04160000000002</v>
      </c>
      <c r="F26">
        <f t="shared" si="4"/>
        <v>607.8045119999997</v>
      </c>
    </row>
    <row r="27" spans="2:8" x14ac:dyDescent="0.3">
      <c r="B27" t="s">
        <v>220</v>
      </c>
      <c r="F27">
        <f>F26*(1+5.6%)/(E51-5.6%)</f>
        <v>26659.146543440213</v>
      </c>
      <c r="H27">
        <f>6.5*(1+0.9%)/(10%-0.9%)</f>
        <v>72.071428571428569</v>
      </c>
    </row>
    <row r="28" spans="2:8" x14ac:dyDescent="0.3">
      <c r="B28" t="s">
        <v>221</v>
      </c>
      <c r="C28">
        <f>SUM(C26:C27)</f>
        <v>472</v>
      </c>
      <c r="D28">
        <f t="shared" ref="D28:F28" si="5">SUM(D26:D27)</f>
        <v>530.88000000000011</v>
      </c>
      <c r="E28">
        <f t="shared" si="5"/>
        <v>568.04160000000002</v>
      </c>
      <c r="F28">
        <f t="shared" si="5"/>
        <v>27266.951055440211</v>
      </c>
    </row>
    <row r="29" spans="2:8" x14ac:dyDescent="0.3">
      <c r="H29">
        <f>H27*(1.1^-3)</f>
        <v>54.148331007835125</v>
      </c>
    </row>
    <row r="30" spans="2:8" x14ac:dyDescent="0.3">
      <c r="B30" t="s">
        <v>205</v>
      </c>
      <c r="C30" s="7">
        <f>NPV(E51,C28:F28)</f>
        <v>21379.315020458867</v>
      </c>
    </row>
    <row r="31" spans="2:8" x14ac:dyDescent="0.3">
      <c r="B31" s="1" t="s">
        <v>206</v>
      </c>
      <c r="C31" s="1">
        <f>C30*70%</f>
        <v>14965.520514321206</v>
      </c>
    </row>
    <row r="34" spans="2:5" x14ac:dyDescent="0.3">
      <c r="B34" t="s">
        <v>212</v>
      </c>
    </row>
    <row r="35" spans="2:5" x14ac:dyDescent="0.3">
      <c r="C35" t="s">
        <v>213</v>
      </c>
      <c r="D35" t="s">
        <v>214</v>
      </c>
      <c r="E35" t="s">
        <v>215</v>
      </c>
    </row>
    <row r="36" spans="2:5" x14ac:dyDescent="0.3">
      <c r="B36" t="s">
        <v>133</v>
      </c>
      <c r="C36">
        <v>0.8</v>
      </c>
      <c r="D36">
        <v>0.95</v>
      </c>
    </row>
    <row r="37" spans="2:5" x14ac:dyDescent="0.3">
      <c r="B37" t="s">
        <v>24</v>
      </c>
      <c r="C37">
        <v>12600</v>
      </c>
      <c r="D37" s="7">
        <f>D15</f>
        <v>985.31105733458321</v>
      </c>
    </row>
    <row r="38" spans="2:5" x14ac:dyDescent="0.3">
      <c r="B38" t="s">
        <v>216</v>
      </c>
      <c r="C38" s="5">
        <f>C37/(C37+D37)</f>
        <v>0.9274723226302114</v>
      </c>
      <c r="D38" s="5">
        <f>1-C38</f>
        <v>7.2527677369788601E-2</v>
      </c>
    </row>
    <row r="40" spans="2:5" x14ac:dyDescent="0.3">
      <c r="B40" t="s">
        <v>217</v>
      </c>
      <c r="E40" s="7">
        <f>(C38*C36)+(D38*D36)</f>
        <v>0.81087915160546831</v>
      </c>
    </row>
    <row r="42" spans="2:5" x14ac:dyDescent="0.3">
      <c r="B42" t="s">
        <v>24</v>
      </c>
      <c r="E42" s="4">
        <v>0.7</v>
      </c>
    </row>
    <row r="43" spans="2:5" x14ac:dyDescent="0.3">
      <c r="B43" t="s">
        <v>27</v>
      </c>
      <c r="E43" s="5">
        <f>30%*80%</f>
        <v>0.24</v>
      </c>
    </row>
    <row r="45" spans="2:5" x14ac:dyDescent="0.3">
      <c r="B45" s="1" t="s">
        <v>218</v>
      </c>
      <c r="E45" s="7">
        <f>E40*(E42+E43)/E42</f>
        <v>1.0888948607273432</v>
      </c>
    </row>
    <row r="46" spans="2:5" x14ac:dyDescent="0.3">
      <c r="B46" t="s">
        <v>38</v>
      </c>
      <c r="E46" s="4">
        <v>0.02</v>
      </c>
    </row>
    <row r="47" spans="2:5" x14ac:dyDescent="0.3">
      <c r="B47" t="s">
        <v>197</v>
      </c>
      <c r="E47" s="4">
        <v>7.0000000000000007E-2</v>
      </c>
    </row>
    <row r="48" spans="2:5" x14ac:dyDescent="0.3">
      <c r="B48" s="1" t="s">
        <v>70</v>
      </c>
      <c r="C48" s="1"/>
      <c r="D48" s="1"/>
      <c r="E48" s="13">
        <f>E46+E45*E47</f>
        <v>9.6222640250914038E-2</v>
      </c>
    </row>
    <row r="49" spans="2:5" x14ac:dyDescent="0.3">
      <c r="B49" t="s">
        <v>87</v>
      </c>
      <c r="E49" s="5">
        <f>5.3%*80%</f>
        <v>4.24E-2</v>
      </c>
    </row>
    <row r="51" spans="2:5" x14ac:dyDescent="0.3">
      <c r="B51" t="s">
        <v>219</v>
      </c>
      <c r="E51" s="5">
        <f>(E48*70%)+(E49*30%)</f>
        <v>8.0075848175639813E-2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74EF5-21DC-4E82-8DE8-8C7F948F1CAD}">
  <dimension ref="B2:O33"/>
  <sheetViews>
    <sheetView zoomScale="90" workbookViewId="0">
      <selection activeCell="G33" sqref="G33"/>
    </sheetView>
  </sheetViews>
  <sheetFormatPr defaultRowHeight="15.05" x14ac:dyDescent="0.3"/>
  <cols>
    <col min="2" max="2" width="19.77734375" customWidth="1"/>
    <col min="3" max="3" width="11.6640625" bestFit="1" customWidth="1"/>
    <col min="8" max="9" width="14.33203125" customWidth="1"/>
    <col min="12" max="12" width="9.77734375" bestFit="1" customWidth="1"/>
    <col min="14" max="14" width="9.44140625" bestFit="1" customWidth="1"/>
  </cols>
  <sheetData>
    <row r="2" spans="2:12" x14ac:dyDescent="0.3">
      <c r="B2" s="1" t="s">
        <v>222</v>
      </c>
    </row>
    <row r="3" spans="2:12" x14ac:dyDescent="0.3">
      <c r="H3" s="1" t="s">
        <v>223</v>
      </c>
    </row>
    <row r="4" spans="2:12" x14ac:dyDescent="0.3">
      <c r="B4" s="1" t="s">
        <v>2</v>
      </c>
      <c r="C4" s="1">
        <v>1</v>
      </c>
      <c r="D4" s="1">
        <v>2</v>
      </c>
      <c r="E4" s="1">
        <v>3</v>
      </c>
      <c r="F4" s="1">
        <v>4</v>
      </c>
      <c r="H4" t="s">
        <v>224</v>
      </c>
      <c r="I4" s="5">
        <f>(16146/13559)^(1/3)-1</f>
        <v>5.9934664716276176E-2</v>
      </c>
    </row>
    <row r="5" spans="2:12" x14ac:dyDescent="0.3">
      <c r="B5" t="s">
        <v>208</v>
      </c>
      <c r="C5" s="7">
        <f>16146*(1+$I$4)^C4</f>
        <v>17113.705096508995</v>
      </c>
      <c r="D5" s="7">
        <f t="shared" ref="D5:F5" si="0">16146*(1+$I$4)^D4</f>
        <v>18139.409273521487</v>
      </c>
      <c r="E5" s="7">
        <f t="shared" si="0"/>
        <v>19226.588686481307</v>
      </c>
      <c r="F5" s="7">
        <f t="shared" si="0"/>
        <v>20378.927833043312</v>
      </c>
    </row>
    <row r="6" spans="2:12" x14ac:dyDescent="0.3">
      <c r="B6" t="s">
        <v>209</v>
      </c>
      <c r="C6" s="7">
        <f>C5*32%</f>
        <v>5476.3856308828781</v>
      </c>
      <c r="D6" s="7">
        <f t="shared" ref="D6:F6" si="1">D5*32%</f>
        <v>5804.6109675268763</v>
      </c>
      <c r="E6" s="7">
        <f t="shared" si="1"/>
        <v>6152.5083796740182</v>
      </c>
      <c r="F6" s="7">
        <f t="shared" si="1"/>
        <v>6521.2569065738599</v>
      </c>
      <c r="H6">
        <v>16146</v>
      </c>
      <c r="I6">
        <v>15229</v>
      </c>
      <c r="J6">
        <v>14491</v>
      </c>
      <c r="K6">
        <v>13559</v>
      </c>
    </row>
    <row r="7" spans="2:12" x14ac:dyDescent="0.3">
      <c r="B7" t="s">
        <v>43</v>
      </c>
      <c r="C7" s="7">
        <f>C6*-28%</f>
        <v>-1533.387976647206</v>
      </c>
      <c r="D7" s="7">
        <f t="shared" ref="D7:F7" si="2">D6*-28%</f>
        <v>-1625.2910709075254</v>
      </c>
      <c r="E7" s="7">
        <f t="shared" si="2"/>
        <v>-1722.7023463087253</v>
      </c>
      <c r="F7" s="7">
        <f t="shared" si="2"/>
        <v>-1825.951933840681</v>
      </c>
      <c r="H7">
        <v>5169</v>
      </c>
      <c r="I7">
        <v>5074</v>
      </c>
      <c r="J7">
        <v>4243</v>
      </c>
      <c r="K7">
        <v>4530</v>
      </c>
    </row>
    <row r="8" spans="2:12" x14ac:dyDescent="0.3">
      <c r="B8" t="s">
        <v>210</v>
      </c>
      <c r="C8" s="7">
        <f>(-C5+16146)*22%</f>
        <v>-212.89512123197883</v>
      </c>
      <c r="D8" s="7">
        <f>(-D5+C5)*22%</f>
        <v>-225.65491894274834</v>
      </c>
      <c r="E8" s="7">
        <f t="shared" ref="E8:F8" si="3">(-E5+D5)*22%</f>
        <v>-239.17947085116043</v>
      </c>
      <c r="F8" s="7">
        <f t="shared" si="3"/>
        <v>-253.51461224364095</v>
      </c>
      <c r="H8">
        <f>H7/H6</f>
        <v>0.32014121144555929</v>
      </c>
      <c r="I8">
        <f t="shared" ref="I8:K8" si="4">I7/I6</f>
        <v>0.33318011688226412</v>
      </c>
      <c r="J8">
        <f t="shared" si="4"/>
        <v>0.29280242909392035</v>
      </c>
      <c r="K8">
        <f t="shared" si="4"/>
        <v>0.33409543476657572</v>
      </c>
      <c r="L8" s="5">
        <f>SUM(H8:K8)/4</f>
        <v>0.32005479804707987</v>
      </c>
    </row>
    <row r="9" spans="2:12" x14ac:dyDescent="0.3">
      <c r="B9" t="s">
        <v>11</v>
      </c>
      <c r="C9" s="7"/>
      <c r="D9" s="7"/>
      <c r="E9" s="7"/>
      <c r="F9" s="7"/>
      <c r="H9" s="1" t="s">
        <v>103</v>
      </c>
    </row>
    <row r="10" spans="2:12" x14ac:dyDescent="0.3">
      <c r="C10" s="7"/>
      <c r="D10" s="7"/>
      <c r="E10" s="7"/>
      <c r="F10" s="7"/>
      <c r="H10" t="s">
        <v>218</v>
      </c>
      <c r="I10">
        <v>1.53</v>
      </c>
      <c r="J10" t="s">
        <v>133</v>
      </c>
      <c r="K10" s="7">
        <f>I10*K14/(K14+K11)</f>
        <v>1.4166666666666667</v>
      </c>
    </row>
    <row r="11" spans="2:12" x14ac:dyDescent="0.3">
      <c r="B11" t="s">
        <v>211</v>
      </c>
      <c r="C11" s="7">
        <f>SUM(C6:C10)</f>
        <v>3730.1025330036932</v>
      </c>
      <c r="D11" s="7">
        <f t="shared" ref="D11:F11" si="5">SUM(D6:D10)</f>
        <v>3953.6649776766021</v>
      </c>
      <c r="E11" s="7">
        <f t="shared" si="5"/>
        <v>4190.6265625141323</v>
      </c>
      <c r="F11" s="7">
        <f t="shared" si="5"/>
        <v>4441.7903604895382</v>
      </c>
      <c r="H11" t="s">
        <v>38</v>
      </c>
      <c r="I11" s="5">
        <v>4.4999999999999998E-2</v>
      </c>
      <c r="J11" t="s">
        <v>27</v>
      </c>
      <c r="K11" s="10">
        <f>K15*72%</f>
        <v>7.1999999999999995E-2</v>
      </c>
    </row>
    <row r="12" spans="2:12" x14ac:dyDescent="0.3">
      <c r="B12" t="s">
        <v>220</v>
      </c>
      <c r="C12" s="7"/>
      <c r="D12" s="7"/>
      <c r="E12" s="7"/>
      <c r="F12" s="7">
        <f>F11*(1+3%)/(I16-3%)</f>
        <v>45934.177422733177</v>
      </c>
      <c r="H12" t="s">
        <v>225</v>
      </c>
      <c r="I12" s="4">
        <v>0.06</v>
      </c>
    </row>
    <row r="13" spans="2:12" x14ac:dyDescent="0.3">
      <c r="B13" t="s">
        <v>211</v>
      </c>
      <c r="C13" s="7">
        <f>SUM(C11:C12)</f>
        <v>3730.1025330036932</v>
      </c>
      <c r="D13" s="7">
        <f t="shared" ref="D13:F13" si="6">SUM(D11:D12)</f>
        <v>3953.6649776766021</v>
      </c>
      <c r="E13" s="7">
        <f t="shared" si="6"/>
        <v>4190.6265625141323</v>
      </c>
      <c r="F13" s="7">
        <f t="shared" si="6"/>
        <v>50375.967783222717</v>
      </c>
    </row>
    <row r="14" spans="2:12" x14ac:dyDescent="0.3">
      <c r="B14" t="s">
        <v>92</v>
      </c>
      <c r="C14" s="5">
        <f>I16</f>
        <v>0.12959999999999999</v>
      </c>
      <c r="H14" t="s">
        <v>70</v>
      </c>
      <c r="I14" s="5">
        <f>I11+(I12*I10)</f>
        <v>0.13679999999999998</v>
      </c>
      <c r="J14" t="s">
        <v>24</v>
      </c>
      <c r="K14" s="4">
        <v>0.9</v>
      </c>
      <c r="L14" s="15">
        <f>I14*K14</f>
        <v>0.12311999999999998</v>
      </c>
    </row>
    <row r="15" spans="2:12" x14ac:dyDescent="0.3">
      <c r="B15" t="s">
        <v>226</v>
      </c>
      <c r="C15" s="7">
        <f>NPV(C14,C13:F13)</f>
        <v>40248.348774363825</v>
      </c>
      <c r="D15">
        <f>C15*90%</f>
        <v>36223.513896927441</v>
      </c>
      <c r="H15" t="s">
        <v>87</v>
      </c>
      <c r="I15" s="5">
        <f>9%*72%</f>
        <v>6.4799999999999996E-2</v>
      </c>
      <c r="J15" t="s">
        <v>25</v>
      </c>
      <c r="K15" s="4">
        <v>0.1</v>
      </c>
      <c r="L15" s="15">
        <f>I15*K15</f>
        <v>6.4799999999999996E-3</v>
      </c>
    </row>
    <row r="16" spans="2:12" x14ac:dyDescent="0.3">
      <c r="H16" t="s">
        <v>219</v>
      </c>
      <c r="I16" s="5">
        <f>L14+L15</f>
        <v>0.12959999999999999</v>
      </c>
    </row>
    <row r="17" spans="2:15" x14ac:dyDescent="0.3">
      <c r="B17" s="1" t="s">
        <v>227</v>
      </c>
    </row>
    <row r="18" spans="2:15" x14ac:dyDescent="0.3">
      <c r="H18" s="1" t="s">
        <v>107</v>
      </c>
    </row>
    <row r="19" spans="2:15" x14ac:dyDescent="0.3">
      <c r="B19" s="1" t="s">
        <v>2</v>
      </c>
      <c r="C19" s="1">
        <v>1</v>
      </c>
      <c r="D19" s="1">
        <v>2</v>
      </c>
      <c r="E19" s="1">
        <v>3</v>
      </c>
      <c r="F19" s="1">
        <v>4</v>
      </c>
      <c r="I19" t="s">
        <v>218</v>
      </c>
      <c r="J19" t="s">
        <v>133</v>
      </c>
      <c r="K19" t="s">
        <v>24</v>
      </c>
      <c r="L19" t="s">
        <v>25</v>
      </c>
      <c r="M19" t="s">
        <v>27</v>
      </c>
      <c r="N19" t="s">
        <v>230</v>
      </c>
      <c r="O19" t="s">
        <v>216</v>
      </c>
    </row>
    <row r="20" spans="2:15" x14ac:dyDescent="0.3">
      <c r="B20" t="s">
        <v>208</v>
      </c>
      <c r="C20">
        <v>51952</v>
      </c>
      <c r="D20">
        <f>C20*(1+5.8%)</f>
        <v>54965.216</v>
      </c>
      <c r="E20">
        <f t="shared" ref="E20:F20" si="7">D20*(1+5.8%)</f>
        <v>58153.198528000001</v>
      </c>
      <c r="F20">
        <f t="shared" si="7"/>
        <v>61526.084042624003</v>
      </c>
      <c r="H20" t="s">
        <v>228</v>
      </c>
      <c r="I20">
        <v>1.18</v>
      </c>
      <c r="J20" s="7">
        <f>I20*K20/(K20+M20)</f>
        <v>0.68604651162790697</v>
      </c>
      <c r="K20" s="4">
        <v>0.5</v>
      </c>
      <c r="L20" s="4">
        <v>0.5</v>
      </c>
      <c r="M20" s="5">
        <f>L20*72%</f>
        <v>0.36</v>
      </c>
      <c r="N20">
        <v>140000</v>
      </c>
      <c r="O20">
        <f>N20/(N21+N20)</f>
        <v>0.77670614433895879</v>
      </c>
    </row>
    <row r="21" spans="2:15" x14ac:dyDescent="0.3">
      <c r="B21" t="s">
        <v>209</v>
      </c>
      <c r="C21">
        <f>C20*30%</f>
        <v>15585.599999999999</v>
      </c>
      <c r="D21">
        <f t="shared" ref="D21:F21" si="8">D20*30%</f>
        <v>16489.5648</v>
      </c>
      <c r="E21">
        <f t="shared" si="8"/>
        <v>17445.959558399998</v>
      </c>
      <c r="F21">
        <f t="shared" si="8"/>
        <v>18457.8252127872</v>
      </c>
      <c r="H21" t="s">
        <v>229</v>
      </c>
      <c r="I21">
        <f>I10</f>
        <v>1.53</v>
      </c>
      <c r="J21" s="7">
        <f>K10</f>
        <v>1.4166666666666667</v>
      </c>
      <c r="N21" s="7">
        <f>C15</f>
        <v>40248.348774363825</v>
      </c>
      <c r="O21">
        <f>1-O20</f>
        <v>0.22329385566104121</v>
      </c>
    </row>
    <row r="22" spans="2:15" x14ac:dyDescent="0.3">
      <c r="B22" t="s">
        <v>43</v>
      </c>
      <c r="C22">
        <f>C21*-28%</f>
        <v>-4363.9679999999998</v>
      </c>
      <c r="D22">
        <f t="shared" ref="D22:F22" si="9">D21*-28%</f>
        <v>-4617.0781440000001</v>
      </c>
      <c r="E22">
        <f t="shared" si="9"/>
        <v>-4884.868676352</v>
      </c>
      <c r="F22">
        <f t="shared" si="9"/>
        <v>-5168.1910595804165</v>
      </c>
      <c r="H22" t="s">
        <v>231</v>
      </c>
      <c r="I22" s="7">
        <f>J22*(K22+M22)/K22</f>
        <v>1.4606059452807083</v>
      </c>
      <c r="J22" s="7">
        <f>(J20*O20)+(J21*O21)</f>
        <v>0.84918950307017926</v>
      </c>
      <c r="K22" s="4">
        <v>0.5</v>
      </c>
      <c r="L22" s="4">
        <v>0.5</v>
      </c>
      <c r="M22" s="5">
        <f>L22*72%</f>
        <v>0.36</v>
      </c>
    </row>
    <row r="23" spans="2:15" x14ac:dyDescent="0.3">
      <c r="B23" t="s">
        <v>210</v>
      </c>
      <c r="C23">
        <v>-513</v>
      </c>
      <c r="D23">
        <f>(-D20+C20)*18%</f>
        <v>-542.37888000000009</v>
      </c>
      <c r="E23">
        <f t="shared" ref="E23:F23" si="10">(-E20+D20)*18%</f>
        <v>-573.83685504000005</v>
      </c>
      <c r="F23">
        <f t="shared" si="10"/>
        <v>-607.11939263232034</v>
      </c>
      <c r="N23" s="7">
        <f>N20+N21</f>
        <v>180248.34877436381</v>
      </c>
    </row>
    <row r="24" spans="2:15" x14ac:dyDescent="0.3">
      <c r="H24" s="1" t="s">
        <v>70</v>
      </c>
      <c r="I24" s="5">
        <f>I11+I22*I12</f>
        <v>0.13263635671684249</v>
      </c>
    </row>
    <row r="25" spans="2:15" x14ac:dyDescent="0.3">
      <c r="B25" t="s">
        <v>211</v>
      </c>
      <c r="C25">
        <f>SUM(C21:C24)</f>
        <v>10708.631999999998</v>
      </c>
      <c r="D25">
        <f t="shared" ref="D25:F25" si="11">SUM(D21:D24)</f>
        <v>11330.107776000001</v>
      </c>
      <c r="E25">
        <f t="shared" si="11"/>
        <v>11987.254027007999</v>
      </c>
      <c r="F25">
        <f t="shared" si="11"/>
        <v>12682.514760574464</v>
      </c>
      <c r="H25" t="s">
        <v>87</v>
      </c>
      <c r="I25" s="5">
        <f>6.4%*72%</f>
        <v>4.6079999999999996E-2</v>
      </c>
    </row>
    <row r="26" spans="2:15" x14ac:dyDescent="0.3">
      <c r="B26" t="s">
        <v>220</v>
      </c>
      <c r="F26">
        <f>F25*(1+2.9%)/(I26-2.9%)</f>
        <v>216214.40612629635</v>
      </c>
      <c r="H26" t="s">
        <v>219</v>
      </c>
      <c r="I26" s="5">
        <f>(I24*K22)+(I25*L22)</f>
        <v>8.9358178358421247E-2</v>
      </c>
    </row>
    <row r="27" spans="2:15" x14ac:dyDescent="0.3">
      <c r="B27" t="s">
        <v>211</v>
      </c>
      <c r="C27">
        <f>SUM(C25:C26)</f>
        <v>10708.631999999998</v>
      </c>
      <c r="D27">
        <f t="shared" ref="D27:F27" si="12">SUM(D25:D26)</f>
        <v>11330.107776000001</v>
      </c>
      <c r="E27">
        <f t="shared" si="12"/>
        <v>11987.254027007999</v>
      </c>
      <c r="F27">
        <f t="shared" si="12"/>
        <v>228896.92088687082</v>
      </c>
    </row>
    <row r="28" spans="2:15" x14ac:dyDescent="0.3">
      <c r="B28" t="s">
        <v>92</v>
      </c>
      <c r="C28" s="5">
        <v>0.09</v>
      </c>
    </row>
    <row r="29" spans="2:15" x14ac:dyDescent="0.3">
      <c r="B29" t="s">
        <v>205</v>
      </c>
      <c r="C29" s="7">
        <f>NPV(C28,C27:F27)</f>
        <v>190773.46708654208</v>
      </c>
    </row>
    <row r="31" spans="2:15" x14ac:dyDescent="0.3">
      <c r="E31">
        <f>E32+D15</f>
        <v>45279.392371159302</v>
      </c>
      <c r="F31" t="s">
        <v>232</v>
      </c>
      <c r="G31">
        <v>20000</v>
      </c>
    </row>
    <row r="32" spans="2:15" x14ac:dyDescent="0.3">
      <c r="D32" t="s">
        <v>197</v>
      </c>
      <c r="E32">
        <f>D15*25%</f>
        <v>9055.8784742318603</v>
      </c>
      <c r="F32" t="s">
        <v>233</v>
      </c>
      <c r="G32">
        <f>E31-G31</f>
        <v>25279.392371159302</v>
      </c>
    </row>
    <row r="33" spans="5:5" x14ac:dyDescent="0.3">
      <c r="E33" t="s">
        <v>234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C0F9F-83FD-486D-89D0-6B4B3E1A3366}">
  <dimension ref="A3:L22"/>
  <sheetViews>
    <sheetView zoomScale="117" workbookViewId="0">
      <selection activeCell="C24" sqref="C24"/>
    </sheetView>
  </sheetViews>
  <sheetFormatPr defaultRowHeight="15.05" x14ac:dyDescent="0.3"/>
  <cols>
    <col min="2" max="2" width="21.109375" bestFit="1" customWidth="1"/>
    <col min="3" max="3" width="9.6640625" bestFit="1" customWidth="1"/>
    <col min="8" max="8" width="14.33203125" customWidth="1"/>
  </cols>
  <sheetData>
    <row r="3" spans="1:12" x14ac:dyDescent="0.3">
      <c r="B3" s="1" t="s">
        <v>235</v>
      </c>
      <c r="H3" s="1" t="s">
        <v>238</v>
      </c>
    </row>
    <row r="4" spans="1:12" x14ac:dyDescent="0.3">
      <c r="B4" t="s">
        <v>2</v>
      </c>
      <c r="C4">
        <v>0</v>
      </c>
      <c r="D4">
        <v>1</v>
      </c>
      <c r="E4">
        <v>2</v>
      </c>
      <c r="F4">
        <v>3</v>
      </c>
      <c r="H4" t="s">
        <v>2</v>
      </c>
      <c r="I4">
        <v>0</v>
      </c>
      <c r="J4">
        <v>1</v>
      </c>
      <c r="K4">
        <v>2</v>
      </c>
      <c r="L4">
        <v>3</v>
      </c>
    </row>
    <row r="5" spans="1:12" x14ac:dyDescent="0.3">
      <c r="B5" t="s">
        <v>81</v>
      </c>
      <c r="C5" s="7">
        <v>5000</v>
      </c>
      <c r="D5" s="7">
        <f>C5*(1.09)</f>
        <v>5450</v>
      </c>
      <c r="E5" s="7">
        <f t="shared" ref="E5:F5" si="0">D5*(1.09)</f>
        <v>5940.5</v>
      </c>
      <c r="F5" s="7">
        <f t="shared" si="0"/>
        <v>6475.1450000000004</v>
      </c>
      <c r="H5" t="s">
        <v>82</v>
      </c>
      <c r="I5">
        <f>C5*15%</f>
        <v>750</v>
      </c>
      <c r="J5">
        <f t="shared" ref="J5:L5" si="1">D5*15%</f>
        <v>817.5</v>
      </c>
      <c r="K5">
        <f t="shared" si="1"/>
        <v>891.07499999999993</v>
      </c>
      <c r="L5">
        <f t="shared" si="1"/>
        <v>971.27175</v>
      </c>
    </row>
    <row r="6" spans="1:12" x14ac:dyDescent="0.3">
      <c r="B6" t="s">
        <v>236</v>
      </c>
      <c r="C6" s="7">
        <v>2000</v>
      </c>
      <c r="D6" s="7">
        <f>D5*40%</f>
        <v>2180</v>
      </c>
      <c r="E6" s="7">
        <f t="shared" ref="E6:F6" si="2">E5*40%</f>
        <v>2376.2000000000003</v>
      </c>
      <c r="F6" s="7">
        <f t="shared" si="2"/>
        <v>2590.0580000000004</v>
      </c>
      <c r="H6" t="s">
        <v>83</v>
      </c>
      <c r="I6">
        <v>1000</v>
      </c>
      <c r="J6">
        <f>I6*1.06</f>
        <v>1060</v>
      </c>
      <c r="K6">
        <f t="shared" ref="K6:L6" si="3">J6*1.06</f>
        <v>1123.6000000000001</v>
      </c>
      <c r="L6">
        <f t="shared" si="3"/>
        <v>1191.0160000000003</v>
      </c>
    </row>
    <row r="7" spans="1:12" x14ac:dyDescent="0.3">
      <c r="B7" t="s">
        <v>238</v>
      </c>
      <c r="C7" s="7">
        <v>1877</v>
      </c>
      <c r="D7" s="7">
        <f>J9</f>
        <v>2012.02</v>
      </c>
      <c r="E7" s="7">
        <f t="shared" ref="E7:F7" si="4">K9</f>
        <v>2158.6990000000001</v>
      </c>
      <c r="F7" s="7">
        <f t="shared" si="4"/>
        <v>2317.7165500000006</v>
      </c>
      <c r="H7" t="s">
        <v>239</v>
      </c>
      <c r="I7">
        <v>127</v>
      </c>
      <c r="J7">
        <f>J15</f>
        <v>134.52000000000001</v>
      </c>
      <c r="K7">
        <f t="shared" ref="K7:L7" si="5">K15</f>
        <v>144.024</v>
      </c>
      <c r="L7">
        <f t="shared" si="5"/>
        <v>155.42880000000002</v>
      </c>
    </row>
    <row r="8" spans="1:12" x14ac:dyDescent="0.3">
      <c r="C8" s="7"/>
      <c r="D8" s="7"/>
      <c r="E8" s="7"/>
      <c r="F8" s="7"/>
    </row>
    <row r="9" spans="1:12" x14ac:dyDescent="0.3">
      <c r="B9" t="s">
        <v>209</v>
      </c>
      <c r="C9" s="7">
        <f>C6-C7</f>
        <v>123</v>
      </c>
      <c r="D9" s="7">
        <f>D6-D7</f>
        <v>167.98000000000002</v>
      </c>
      <c r="E9" s="7">
        <f t="shared" ref="E9:F9" si="6">E6-E7</f>
        <v>217.5010000000002</v>
      </c>
      <c r="F9" s="7">
        <f t="shared" si="6"/>
        <v>272.3414499999999</v>
      </c>
      <c r="H9" t="s">
        <v>237</v>
      </c>
      <c r="J9">
        <f>SUM(J5:J7)</f>
        <v>2012.02</v>
      </c>
      <c r="K9">
        <f t="shared" ref="K9:L9" si="7">SUM(K5:K7)</f>
        <v>2158.6990000000001</v>
      </c>
      <c r="L9">
        <f t="shared" si="7"/>
        <v>2317.7165500000006</v>
      </c>
    </row>
    <row r="10" spans="1:12" x14ac:dyDescent="0.3">
      <c r="A10" t="s">
        <v>253</v>
      </c>
      <c r="B10" t="s">
        <v>245</v>
      </c>
      <c r="D10" s="7">
        <v>-15</v>
      </c>
      <c r="E10" s="7">
        <v>-28</v>
      </c>
      <c r="F10" s="7">
        <v>-43</v>
      </c>
      <c r="G10" s="7">
        <f>F9*-30%</f>
        <v>-81.702434999999966</v>
      </c>
    </row>
    <row r="11" spans="1:12" x14ac:dyDescent="0.3">
      <c r="B11" t="s">
        <v>246</v>
      </c>
      <c r="C11">
        <f>I7</f>
        <v>127</v>
      </c>
      <c r="D11">
        <f t="shared" ref="D11:F11" si="8">J7</f>
        <v>134.52000000000001</v>
      </c>
      <c r="E11">
        <f t="shared" si="8"/>
        <v>144.024</v>
      </c>
      <c r="F11">
        <f t="shared" si="8"/>
        <v>155.42880000000002</v>
      </c>
      <c r="H11" s="1" t="s">
        <v>239</v>
      </c>
    </row>
    <row r="12" spans="1:12" x14ac:dyDescent="0.3">
      <c r="B12" t="s">
        <v>210</v>
      </c>
      <c r="C12">
        <f>-I13</f>
        <v>-66</v>
      </c>
      <c r="D12">
        <f t="shared" ref="D12:F12" si="9">-J13</f>
        <v>-79.2</v>
      </c>
      <c r="E12">
        <f t="shared" si="9"/>
        <v>-95.04</v>
      </c>
      <c r="F12">
        <f t="shared" si="9"/>
        <v>-114.048</v>
      </c>
      <c r="H12" t="s">
        <v>138</v>
      </c>
      <c r="I12">
        <v>1200</v>
      </c>
      <c r="J12">
        <f>I14</f>
        <v>1266</v>
      </c>
      <c r="K12">
        <f t="shared" ref="K12:L12" si="10">J14</f>
        <v>1345.2</v>
      </c>
      <c r="L12">
        <f t="shared" si="10"/>
        <v>1440.24</v>
      </c>
    </row>
    <row r="13" spans="1:12" x14ac:dyDescent="0.3">
      <c r="B13" t="s">
        <v>247</v>
      </c>
      <c r="D13" s="7">
        <f>-J20+I20</f>
        <v>-24.300000000000011</v>
      </c>
      <c r="E13" s="7">
        <f t="shared" ref="E13:F13" si="11">-K20+J20</f>
        <v>-26.487000000000023</v>
      </c>
      <c r="F13" s="7">
        <f t="shared" si="11"/>
        <v>-28.870830000000012</v>
      </c>
      <c r="H13" t="s">
        <v>240</v>
      </c>
      <c r="I13">
        <v>66</v>
      </c>
      <c r="J13">
        <f>I13*1.2</f>
        <v>79.2</v>
      </c>
      <c r="K13">
        <f t="shared" ref="K13:L13" si="12">J13*1.2</f>
        <v>95.04</v>
      </c>
      <c r="L13">
        <f t="shared" si="12"/>
        <v>114.048</v>
      </c>
    </row>
    <row r="14" spans="1:12" x14ac:dyDescent="0.3">
      <c r="H14" t="s">
        <v>243</v>
      </c>
      <c r="I14">
        <f>I12+I13</f>
        <v>1266</v>
      </c>
      <c r="J14">
        <f t="shared" ref="J14:L14" si="13">J12+J13</f>
        <v>1345.2</v>
      </c>
      <c r="K14">
        <f t="shared" si="13"/>
        <v>1440.24</v>
      </c>
      <c r="L14">
        <f t="shared" si="13"/>
        <v>1554.288</v>
      </c>
    </row>
    <row r="15" spans="1:12" x14ac:dyDescent="0.3">
      <c r="B15" t="s">
        <v>249</v>
      </c>
      <c r="C15" s="7">
        <f>SUM(C9:C14)</f>
        <v>184</v>
      </c>
      <c r="D15" s="7">
        <f t="shared" ref="D15:F15" si="14">SUM(D9:D14)</f>
        <v>184</v>
      </c>
      <c r="E15" s="7">
        <f t="shared" si="14"/>
        <v>211.99800000000016</v>
      </c>
      <c r="F15" s="7">
        <f t="shared" si="14"/>
        <v>241.85141999999991</v>
      </c>
      <c r="G15" s="7">
        <f>G10</f>
        <v>-81.702434999999966</v>
      </c>
      <c r="H15" t="s">
        <v>244</v>
      </c>
      <c r="J15">
        <f>J14*10%</f>
        <v>134.52000000000001</v>
      </c>
      <c r="K15">
        <f t="shared" ref="K15:L15" si="15">K14*10%</f>
        <v>144.024</v>
      </c>
      <c r="L15">
        <f t="shared" si="15"/>
        <v>155.42880000000002</v>
      </c>
    </row>
    <row r="16" spans="1:12" x14ac:dyDescent="0.3">
      <c r="B16" t="s">
        <v>250</v>
      </c>
      <c r="C16">
        <v>-74</v>
      </c>
      <c r="D16">
        <v>-74</v>
      </c>
      <c r="E16">
        <v>-74</v>
      </c>
      <c r="F16">
        <v>-74</v>
      </c>
      <c r="H16" t="s">
        <v>241</v>
      </c>
      <c r="I16">
        <v>367</v>
      </c>
      <c r="J16">
        <f>I16+J15</f>
        <v>501.52</v>
      </c>
      <c r="K16">
        <f t="shared" ref="K16:L16" si="16">J16+K15</f>
        <v>645.54399999999998</v>
      </c>
      <c r="L16">
        <f t="shared" si="16"/>
        <v>800.97280000000001</v>
      </c>
    </row>
    <row r="17" spans="2:12" x14ac:dyDescent="0.3">
      <c r="H17" t="s">
        <v>242</v>
      </c>
      <c r="I17">
        <f>I14-I16</f>
        <v>899</v>
      </c>
      <c r="J17">
        <f t="shared" ref="J17:L17" si="17">J14-J16</f>
        <v>843.68000000000006</v>
      </c>
      <c r="K17">
        <f t="shared" si="17"/>
        <v>794.69600000000003</v>
      </c>
      <c r="L17">
        <f t="shared" si="17"/>
        <v>753.3152</v>
      </c>
    </row>
    <row r="18" spans="2:12" x14ac:dyDescent="0.3">
      <c r="B18" t="s">
        <v>251</v>
      </c>
      <c r="C18" s="7">
        <f>SUM(C15:C17)</f>
        <v>110</v>
      </c>
      <c r="D18" s="7">
        <f t="shared" ref="D18:F18" si="18">SUM(D15:D17)</f>
        <v>110</v>
      </c>
      <c r="E18" s="7">
        <f t="shared" si="18"/>
        <v>137.99800000000016</v>
      </c>
      <c r="F18" s="7">
        <f t="shared" si="18"/>
        <v>167.85141999999991</v>
      </c>
      <c r="G18" s="7">
        <f>G15</f>
        <v>-81.702434999999966</v>
      </c>
    </row>
    <row r="19" spans="2:12" x14ac:dyDescent="0.3">
      <c r="B19" t="s">
        <v>220</v>
      </c>
      <c r="F19">
        <f>F18*(1+3%)/(10%-3%)</f>
        <v>2469.81375142857</v>
      </c>
      <c r="H19" s="1" t="s">
        <v>247</v>
      </c>
    </row>
    <row r="20" spans="2:12" x14ac:dyDescent="0.3">
      <c r="B20" t="s">
        <v>145</v>
      </c>
      <c r="C20" s="7">
        <f>SUM(C18:C19)</f>
        <v>110</v>
      </c>
      <c r="D20" s="7">
        <f t="shared" ref="D20:G20" si="19">SUM(D18:D19)</f>
        <v>110</v>
      </c>
      <c r="E20" s="7">
        <f t="shared" si="19"/>
        <v>137.99800000000016</v>
      </c>
      <c r="F20" s="7">
        <f t="shared" si="19"/>
        <v>2637.6651714285699</v>
      </c>
      <c r="G20" s="7">
        <f t="shared" si="19"/>
        <v>-81.702434999999966</v>
      </c>
      <c r="H20" t="s">
        <v>248</v>
      </c>
      <c r="I20">
        <v>270</v>
      </c>
      <c r="J20">
        <f>I20*(1+$I$21)</f>
        <v>294.3</v>
      </c>
      <c r="K20">
        <f t="shared" ref="K20:L20" si="20">J20*(1+$I$21)</f>
        <v>320.78700000000003</v>
      </c>
      <c r="L20">
        <f t="shared" si="20"/>
        <v>349.65783000000005</v>
      </c>
    </row>
    <row r="21" spans="2:12" x14ac:dyDescent="0.3">
      <c r="B21" t="s">
        <v>252</v>
      </c>
      <c r="C21" s="4">
        <v>0.1</v>
      </c>
      <c r="H21" t="s">
        <v>224</v>
      </c>
      <c r="I21" s="5">
        <f>(F6/C6)^(1/3)-1</f>
        <v>9.000000000000008E-2</v>
      </c>
    </row>
    <row r="22" spans="2:12" x14ac:dyDescent="0.3">
      <c r="B22" t="s">
        <v>205</v>
      </c>
      <c r="C22" s="7">
        <f>NPV(C21,D20:F20)</f>
        <v>2195.7648170011789</v>
      </c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2DE41-9983-4808-ACBB-26B45728DD4E}">
  <dimension ref="A2:K58"/>
  <sheetViews>
    <sheetView topLeftCell="A16" zoomScale="88" zoomScaleNormal="130" workbookViewId="0">
      <selection activeCell="K54" sqref="K54"/>
    </sheetView>
  </sheetViews>
  <sheetFormatPr defaultRowHeight="15.05" x14ac:dyDescent="0.3"/>
  <cols>
    <col min="2" max="2" width="20.33203125" customWidth="1"/>
    <col min="3" max="3" width="10.6640625" bestFit="1" customWidth="1"/>
    <col min="6" max="6" width="9.88671875" customWidth="1"/>
  </cols>
  <sheetData>
    <row r="2" spans="2:6" x14ac:dyDescent="0.3">
      <c r="B2" s="1" t="s">
        <v>254</v>
      </c>
    </row>
    <row r="3" spans="2:6" x14ac:dyDescent="0.3">
      <c r="B3" t="s">
        <v>170</v>
      </c>
    </row>
    <row r="4" spans="2:6" x14ac:dyDescent="0.3">
      <c r="B4" s="1" t="s">
        <v>260</v>
      </c>
      <c r="C4">
        <f>2000*2.5</f>
        <v>5000</v>
      </c>
    </row>
    <row r="6" spans="2:6" x14ac:dyDescent="0.3">
      <c r="B6" s="1" t="s">
        <v>255</v>
      </c>
    </row>
    <row r="7" spans="2:6" x14ac:dyDescent="0.3">
      <c r="B7" t="s">
        <v>209</v>
      </c>
      <c r="C7">
        <v>132</v>
      </c>
      <c r="E7" t="s">
        <v>224</v>
      </c>
      <c r="F7" s="4">
        <v>0.03</v>
      </c>
    </row>
    <row r="8" spans="2:6" x14ac:dyDescent="0.3">
      <c r="B8" t="s">
        <v>43</v>
      </c>
      <c r="C8">
        <f>C7*-20%</f>
        <v>-26.400000000000002</v>
      </c>
      <c r="E8" t="s">
        <v>252</v>
      </c>
      <c r="F8" s="4">
        <v>0.11</v>
      </c>
    </row>
    <row r="9" spans="2:6" x14ac:dyDescent="0.3">
      <c r="B9" t="s">
        <v>256</v>
      </c>
      <c r="C9">
        <v>27.4</v>
      </c>
    </row>
    <row r="10" spans="2:6" x14ac:dyDescent="0.3">
      <c r="B10" t="s">
        <v>257</v>
      </c>
      <c r="C10">
        <v>-24.3</v>
      </c>
    </row>
    <row r="12" spans="2:6" x14ac:dyDescent="0.3">
      <c r="B12" t="s">
        <v>211</v>
      </c>
      <c r="C12">
        <f>SUM(C7:C11)</f>
        <v>108.7</v>
      </c>
    </row>
    <row r="13" spans="2:6" x14ac:dyDescent="0.3">
      <c r="B13" t="s">
        <v>220</v>
      </c>
      <c r="C13" s="7">
        <f>C12*(1+F7)/(F8-F7)</f>
        <v>1399.5125</v>
      </c>
    </row>
    <row r="14" spans="2:6" x14ac:dyDescent="0.3">
      <c r="B14" t="s">
        <v>145</v>
      </c>
      <c r="C14" s="7">
        <f>C13</f>
        <v>1399.5125</v>
      </c>
    </row>
    <row r="16" spans="2:6" x14ac:dyDescent="0.3">
      <c r="B16" t="s">
        <v>205</v>
      </c>
      <c r="C16" s="7">
        <f>C14</f>
        <v>1399.5125</v>
      </c>
    </row>
    <row r="17" spans="2:6" x14ac:dyDescent="0.3">
      <c r="B17" t="s">
        <v>258</v>
      </c>
      <c r="C17">
        <v>400</v>
      </c>
    </row>
    <row r="18" spans="2:6" x14ac:dyDescent="0.3">
      <c r="B18" s="1" t="s">
        <v>206</v>
      </c>
      <c r="C18" s="11">
        <f>C16-C17</f>
        <v>999.51250000000005</v>
      </c>
    </row>
    <row r="21" spans="2:6" x14ac:dyDescent="0.3">
      <c r="B21" s="1" t="s">
        <v>259</v>
      </c>
    </row>
    <row r="22" spans="2:6" x14ac:dyDescent="0.3">
      <c r="B22" t="s">
        <v>77</v>
      </c>
      <c r="C22">
        <v>1</v>
      </c>
      <c r="D22">
        <v>2</v>
      </c>
      <c r="E22">
        <v>3</v>
      </c>
      <c r="F22">
        <v>4</v>
      </c>
    </row>
    <row r="23" spans="2:6" x14ac:dyDescent="0.3">
      <c r="B23" t="s">
        <v>208</v>
      </c>
      <c r="C23">
        <v>7351</v>
      </c>
      <c r="D23">
        <f>C23*(1+5.02%)</f>
        <v>7720.0201999999999</v>
      </c>
      <c r="E23">
        <f t="shared" ref="E23:F23" si="0">D23*(1+5.02%)</f>
        <v>8107.5652140399998</v>
      </c>
      <c r="F23">
        <f t="shared" si="0"/>
        <v>8514.5649877848082</v>
      </c>
    </row>
    <row r="24" spans="2:6" x14ac:dyDescent="0.3">
      <c r="B24" t="s">
        <v>209</v>
      </c>
      <c r="C24" s="7">
        <f>C23*15.4%</f>
        <v>1132.0540000000001</v>
      </c>
      <c r="D24" s="7">
        <f t="shared" ref="D24:F24" si="1">D23*15.4%</f>
        <v>1188.8831107999999</v>
      </c>
      <c r="E24" s="7">
        <f t="shared" si="1"/>
        <v>1248.5650429621599</v>
      </c>
      <c r="F24" s="7">
        <f t="shared" si="1"/>
        <v>1311.2430081188604</v>
      </c>
    </row>
    <row r="25" spans="2:6" x14ac:dyDescent="0.3">
      <c r="B25" t="s">
        <v>43</v>
      </c>
      <c r="C25">
        <f>C24*-20%</f>
        <v>-226.41080000000002</v>
      </c>
      <c r="D25">
        <f t="shared" ref="D25:F25" si="2">D24*-20%</f>
        <v>-237.77662215999999</v>
      </c>
      <c r="E25">
        <f t="shared" si="2"/>
        <v>-249.71300859243198</v>
      </c>
      <c r="F25">
        <f t="shared" si="2"/>
        <v>-262.24860162377212</v>
      </c>
    </row>
    <row r="26" spans="2:6" x14ac:dyDescent="0.3">
      <c r="B26" t="s">
        <v>210</v>
      </c>
      <c r="C26">
        <v>-109</v>
      </c>
      <c r="D26">
        <f>(-D23+C23)*31%</f>
        <v>-114.39626199999998</v>
      </c>
      <c r="E26">
        <f t="shared" ref="E26:F26" si="3">(-E23+D23)*31%</f>
        <v>-120.13895435239995</v>
      </c>
      <c r="F26">
        <f t="shared" si="3"/>
        <v>-126.1699298608906</v>
      </c>
    </row>
    <row r="28" spans="2:6" x14ac:dyDescent="0.3">
      <c r="B28" t="s">
        <v>211</v>
      </c>
      <c r="C28" s="7">
        <f>SUM(C24:C27)</f>
        <v>796.64320000000009</v>
      </c>
      <c r="D28" s="7">
        <f t="shared" ref="D28:F28" si="4">SUM(D24:D27)</f>
        <v>836.71022663999997</v>
      </c>
      <c r="E28" s="7">
        <f t="shared" si="4"/>
        <v>878.71308001732791</v>
      </c>
      <c r="F28" s="7">
        <f t="shared" si="4"/>
        <v>922.82447663419759</v>
      </c>
    </row>
    <row r="29" spans="2:6" x14ac:dyDescent="0.3">
      <c r="B29" t="s">
        <v>220</v>
      </c>
      <c r="F29">
        <f>F28*(1+2.4%)/(10%-2.4%)</f>
        <v>12433.845579913397</v>
      </c>
    </row>
    <row r="30" spans="2:6" x14ac:dyDescent="0.3">
      <c r="B30" t="s">
        <v>145</v>
      </c>
      <c r="C30" s="7">
        <f>SUM(C28:C29)</f>
        <v>796.64320000000009</v>
      </c>
      <c r="D30" s="7">
        <f t="shared" ref="D30:F30" si="5">SUM(D28:D29)</f>
        <v>836.71022663999997</v>
      </c>
      <c r="E30" s="7">
        <f t="shared" si="5"/>
        <v>878.71308001732791</v>
      </c>
      <c r="F30" s="7">
        <f t="shared" si="5"/>
        <v>13356.670056547595</v>
      </c>
    </row>
    <row r="32" spans="2:6" x14ac:dyDescent="0.3">
      <c r="B32" t="s">
        <v>205</v>
      </c>
      <c r="C32" s="7">
        <f>NPV(10%,C30:F30)</f>
        <v>11198.692656240046</v>
      </c>
    </row>
    <row r="33" spans="1:11" x14ac:dyDescent="0.3">
      <c r="B33" s="1" t="s">
        <v>260</v>
      </c>
      <c r="C33" s="11">
        <f>C32*60%</f>
        <v>6719.2155937440275</v>
      </c>
    </row>
    <row r="36" spans="1:11" x14ac:dyDescent="0.3">
      <c r="A36" s="1"/>
      <c r="B36" s="1" t="s">
        <v>174</v>
      </c>
    </row>
    <row r="37" spans="1:11" x14ac:dyDescent="0.3">
      <c r="A37" s="1"/>
      <c r="B37" s="1"/>
    </row>
    <row r="38" spans="1:11" x14ac:dyDescent="0.3">
      <c r="B38" t="s">
        <v>261</v>
      </c>
      <c r="C38" s="7">
        <f>C33-C4</f>
        <v>1719.2155937440275</v>
      </c>
      <c r="E38" t="s">
        <v>179</v>
      </c>
      <c r="G38">
        <f>C39</f>
        <v>1157.2</v>
      </c>
    </row>
    <row r="39" spans="1:11" x14ac:dyDescent="0.3">
      <c r="B39" t="s">
        <v>179</v>
      </c>
      <c r="C39">
        <f>4.4*263</f>
        <v>1157.2</v>
      </c>
      <c r="E39" t="s">
        <v>266</v>
      </c>
      <c r="G39" s="7">
        <f>C18</f>
        <v>999.51250000000005</v>
      </c>
    </row>
    <row r="41" spans="1:11" x14ac:dyDescent="0.3">
      <c r="B41" t="s">
        <v>176</v>
      </c>
      <c r="C41" s="7">
        <f>C38-C39</f>
        <v>562.01559374402746</v>
      </c>
      <c r="E41" t="s">
        <v>176</v>
      </c>
      <c r="G41" s="7">
        <f>G38-G39</f>
        <v>157.6875</v>
      </c>
    </row>
    <row r="42" spans="1:11" x14ac:dyDescent="0.3">
      <c r="B42" t="s">
        <v>177</v>
      </c>
      <c r="C42" s="5">
        <f>C41/C4</f>
        <v>0.11240311874880549</v>
      </c>
      <c r="E42" t="s">
        <v>177</v>
      </c>
      <c r="G42" s="5">
        <f>G41/G39</f>
        <v>0.1577644101499481</v>
      </c>
    </row>
    <row r="44" spans="1:11" x14ac:dyDescent="0.3">
      <c r="A44" s="1"/>
      <c r="B44" s="1" t="s">
        <v>262</v>
      </c>
    </row>
    <row r="46" spans="1:11" x14ac:dyDescent="0.3">
      <c r="B46" t="s">
        <v>261</v>
      </c>
      <c r="C46" s="7">
        <f>C38</f>
        <v>1719.2155937440275</v>
      </c>
      <c r="E46" t="s">
        <v>179</v>
      </c>
      <c r="G46">
        <f>C47</f>
        <v>1398.9477170279354</v>
      </c>
      <c r="I46" s="1" t="s">
        <v>264</v>
      </c>
    </row>
    <row r="47" spans="1:11" x14ac:dyDescent="0.3">
      <c r="B47" t="s">
        <v>263</v>
      </c>
      <c r="C47">
        <f>K54</f>
        <v>1398.9477170279354</v>
      </c>
      <c r="E47" t="s">
        <v>266</v>
      </c>
      <c r="G47" s="7">
        <f>G39</f>
        <v>999.51250000000005</v>
      </c>
      <c r="I47" t="s">
        <v>265</v>
      </c>
      <c r="K47" s="7">
        <f>C33-C18-C4</f>
        <v>719.70309374402768</v>
      </c>
    </row>
    <row r="48" spans="1:11" x14ac:dyDescent="0.3">
      <c r="I48" t="s">
        <v>268</v>
      </c>
      <c r="K48">
        <f>K47*44.45%</f>
        <v>319.90802516922031</v>
      </c>
    </row>
    <row r="49" spans="1:11" x14ac:dyDescent="0.3">
      <c r="B49" t="s">
        <v>176</v>
      </c>
      <c r="C49" s="7">
        <f>C46-C47</f>
        <v>320.26787671609213</v>
      </c>
      <c r="E49" t="s">
        <v>176</v>
      </c>
      <c r="G49" s="7">
        <f>G46-G47</f>
        <v>399.43521702793532</v>
      </c>
      <c r="I49" t="s">
        <v>269</v>
      </c>
      <c r="K49">
        <f>K48+C4</f>
        <v>5319.9080251692203</v>
      </c>
    </row>
    <row r="50" spans="1:11" x14ac:dyDescent="0.3">
      <c r="B50" t="s">
        <v>177</v>
      </c>
      <c r="C50" s="5">
        <f>C49/C4</f>
        <v>6.4053575343218427E-2</v>
      </c>
      <c r="E50" t="s">
        <v>177</v>
      </c>
      <c r="G50" s="5">
        <f>G49/G47</f>
        <v>0.39963003667081232</v>
      </c>
      <c r="I50" t="s">
        <v>270</v>
      </c>
      <c r="K50" s="7">
        <f>K49/2000</f>
        <v>2.6599540125846102</v>
      </c>
    </row>
    <row r="51" spans="1:11" x14ac:dyDescent="0.3">
      <c r="I51" t="s">
        <v>271</v>
      </c>
      <c r="K51">
        <f>2.5</f>
        <v>2.5</v>
      </c>
    </row>
    <row r="52" spans="1:11" x14ac:dyDescent="0.3">
      <c r="A52" s="1"/>
      <c r="B52" s="1" t="s">
        <v>267</v>
      </c>
      <c r="I52" t="s">
        <v>176</v>
      </c>
      <c r="K52" s="7">
        <f>K50-K51</f>
        <v>0.15995401258461017</v>
      </c>
    </row>
    <row r="53" spans="1:11" x14ac:dyDescent="0.3">
      <c r="K53" s="5">
        <f>K52/K51</f>
        <v>6.3981605033844063E-2</v>
      </c>
    </row>
    <row r="54" spans="1:11" x14ac:dyDescent="0.3">
      <c r="B54" t="s">
        <v>261</v>
      </c>
      <c r="C54" s="7">
        <f>C46</f>
        <v>1719.2155937440275</v>
      </c>
      <c r="E54" t="s">
        <v>179</v>
      </c>
      <c r="G54">
        <f>C55</f>
        <v>1233.47</v>
      </c>
      <c r="I54" t="s">
        <v>272</v>
      </c>
      <c r="K54">
        <f>C18+(K47*55.5%)</f>
        <v>1398.9477170279354</v>
      </c>
    </row>
    <row r="55" spans="1:11" x14ac:dyDescent="0.3">
      <c r="B55" t="s">
        <v>263</v>
      </c>
      <c r="C55">
        <f>(2.09*263)+(2.6*263)</f>
        <v>1233.47</v>
      </c>
      <c r="E55" t="s">
        <v>266</v>
      </c>
      <c r="G55" s="7">
        <f>G47</f>
        <v>999.51250000000005</v>
      </c>
      <c r="K55">
        <f>K54/K50</f>
        <v>525.92928690094652</v>
      </c>
    </row>
    <row r="57" spans="1:11" x14ac:dyDescent="0.3">
      <c r="B57" t="s">
        <v>176</v>
      </c>
      <c r="C57" s="7">
        <f>C54-C55</f>
        <v>485.74559374402747</v>
      </c>
      <c r="E57" t="s">
        <v>176</v>
      </c>
      <c r="G57" s="7">
        <f>G54-G55</f>
        <v>233.95749999999998</v>
      </c>
    </row>
    <row r="58" spans="1:11" x14ac:dyDescent="0.3">
      <c r="B58" t="s">
        <v>177</v>
      </c>
      <c r="C58" s="5">
        <f>C57/C4</f>
        <v>9.7149118748805496E-2</v>
      </c>
      <c r="E58" t="s">
        <v>177</v>
      </c>
      <c r="G58" s="5">
        <f>G57/G55</f>
        <v>0.234071609909831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EEA24-B6AF-44EC-9F7A-54E42D4E7C76}">
  <dimension ref="B4:I32"/>
  <sheetViews>
    <sheetView topLeftCell="B17" zoomScale="99" workbookViewId="0">
      <selection activeCell="F35" sqref="F35"/>
    </sheetView>
  </sheetViews>
  <sheetFormatPr defaultRowHeight="15.05" x14ac:dyDescent="0.3"/>
  <cols>
    <col min="3" max="3" width="27.88671875" customWidth="1"/>
    <col min="4" max="4" width="10.77734375" customWidth="1"/>
  </cols>
  <sheetData>
    <row r="4" spans="2:9" x14ac:dyDescent="0.3">
      <c r="B4" s="1" t="s">
        <v>273</v>
      </c>
    </row>
    <row r="5" spans="2:9" x14ac:dyDescent="0.3">
      <c r="C5" t="s">
        <v>274</v>
      </c>
      <c r="D5">
        <f>7570-970</f>
        <v>6600</v>
      </c>
    </row>
    <row r="6" spans="2:9" x14ac:dyDescent="0.3">
      <c r="C6" t="s">
        <v>275</v>
      </c>
      <c r="D6">
        <f>D5*60%</f>
        <v>3960</v>
      </c>
    </row>
    <row r="7" spans="2:9" x14ac:dyDescent="0.3">
      <c r="C7" t="s">
        <v>130</v>
      </c>
      <c r="D7">
        <f>D6*75%</f>
        <v>2970</v>
      </c>
    </row>
    <row r="8" spans="2:9" x14ac:dyDescent="0.3">
      <c r="C8" s="1" t="s">
        <v>205</v>
      </c>
      <c r="D8" s="1">
        <f>D7</f>
        <v>2970</v>
      </c>
    </row>
    <row r="10" spans="2:9" x14ac:dyDescent="0.3">
      <c r="B10" s="1" t="s">
        <v>276</v>
      </c>
    </row>
    <row r="11" spans="2:9" x14ac:dyDescent="0.3">
      <c r="C11" t="s">
        <v>2</v>
      </c>
      <c r="D11">
        <v>0</v>
      </c>
      <c r="E11">
        <v>1</v>
      </c>
      <c r="F11">
        <v>2</v>
      </c>
      <c r="G11">
        <v>3</v>
      </c>
      <c r="H11">
        <v>4</v>
      </c>
      <c r="I11">
        <v>5</v>
      </c>
    </row>
    <row r="12" spans="2:9" x14ac:dyDescent="0.3">
      <c r="C12" t="s">
        <v>277</v>
      </c>
      <c r="D12">
        <v>800</v>
      </c>
    </row>
    <row r="13" spans="2:9" x14ac:dyDescent="0.3">
      <c r="C13" t="s">
        <v>278</v>
      </c>
      <c r="E13">
        <v>470</v>
      </c>
      <c r="F13">
        <v>494</v>
      </c>
      <c r="G13">
        <v>516</v>
      </c>
      <c r="H13">
        <v>536</v>
      </c>
      <c r="I13">
        <v>558</v>
      </c>
    </row>
    <row r="14" spans="2:9" x14ac:dyDescent="0.3">
      <c r="C14" t="s">
        <v>279</v>
      </c>
      <c r="E14">
        <v>-100</v>
      </c>
      <c r="F14">
        <v>-120</v>
      </c>
      <c r="G14">
        <v>-135</v>
      </c>
      <c r="H14">
        <v>-145</v>
      </c>
      <c r="I14">
        <v>-150</v>
      </c>
    </row>
    <row r="15" spans="2:9" x14ac:dyDescent="0.3">
      <c r="C15" t="s">
        <v>280</v>
      </c>
      <c r="E15">
        <f>-E14</f>
        <v>100</v>
      </c>
      <c r="F15">
        <f t="shared" ref="F15:I15" si="0">-F14</f>
        <v>120</v>
      </c>
      <c r="G15">
        <f t="shared" si="0"/>
        <v>135</v>
      </c>
      <c r="H15">
        <f t="shared" si="0"/>
        <v>145</v>
      </c>
      <c r="I15">
        <f t="shared" si="0"/>
        <v>150</v>
      </c>
    </row>
    <row r="16" spans="2:9" x14ac:dyDescent="0.3">
      <c r="C16" t="s">
        <v>211</v>
      </c>
      <c r="E16">
        <f>SUM(E13:E15)</f>
        <v>470</v>
      </c>
      <c r="F16">
        <f t="shared" ref="F16:I16" si="1">SUM(F13:F15)</f>
        <v>494</v>
      </c>
      <c r="G16">
        <f t="shared" si="1"/>
        <v>516</v>
      </c>
      <c r="H16">
        <f t="shared" si="1"/>
        <v>536</v>
      </c>
      <c r="I16">
        <f t="shared" si="1"/>
        <v>558</v>
      </c>
    </row>
    <row r="17" spans="2:9" x14ac:dyDescent="0.3">
      <c r="C17" t="s">
        <v>220</v>
      </c>
      <c r="I17">
        <f>I16/D19</f>
        <v>4650</v>
      </c>
    </row>
    <row r="18" spans="2:9" x14ac:dyDescent="0.3">
      <c r="C18" t="s">
        <v>211</v>
      </c>
      <c r="D18">
        <f>SUM(D12:D17)</f>
        <v>800</v>
      </c>
      <c r="E18">
        <f>SUM(E16:E17)</f>
        <v>470</v>
      </c>
      <c r="F18">
        <f t="shared" ref="F18:I18" si="2">SUM(F16:F17)</f>
        <v>494</v>
      </c>
      <c r="G18">
        <f t="shared" si="2"/>
        <v>516</v>
      </c>
      <c r="H18">
        <f t="shared" si="2"/>
        <v>536</v>
      </c>
      <c r="I18">
        <f t="shared" si="2"/>
        <v>5208</v>
      </c>
    </row>
    <row r="19" spans="2:9" x14ac:dyDescent="0.3">
      <c r="C19" t="s">
        <v>252</v>
      </c>
      <c r="D19" s="4">
        <v>0.12</v>
      </c>
    </row>
    <row r="20" spans="2:9" x14ac:dyDescent="0.3">
      <c r="C20" s="1" t="s">
        <v>205</v>
      </c>
      <c r="D20" s="11">
        <f>NPV(D19,E18:I18)+D18</f>
        <v>5276.5319951322354</v>
      </c>
    </row>
    <row r="22" spans="2:9" x14ac:dyDescent="0.3">
      <c r="B22" s="1" t="s">
        <v>281</v>
      </c>
    </row>
    <row r="23" spans="2:9" x14ac:dyDescent="0.3">
      <c r="C23" t="s">
        <v>2</v>
      </c>
      <c r="D23">
        <v>0</v>
      </c>
      <c r="E23">
        <v>1</v>
      </c>
      <c r="F23">
        <v>2</v>
      </c>
      <c r="G23">
        <v>3</v>
      </c>
    </row>
    <row r="24" spans="2:9" x14ac:dyDescent="0.3">
      <c r="C24" t="s">
        <v>16</v>
      </c>
      <c r="D24">
        <v>-600</v>
      </c>
    </row>
    <row r="25" spans="2:9" x14ac:dyDescent="0.3">
      <c r="C25" t="s">
        <v>278</v>
      </c>
      <c r="E25">
        <v>380</v>
      </c>
      <c r="F25">
        <v>420</v>
      </c>
      <c r="G25">
        <v>440</v>
      </c>
    </row>
    <row r="26" spans="2:9" x14ac:dyDescent="0.3">
      <c r="C26" t="s">
        <v>282</v>
      </c>
      <c r="E26">
        <v>170</v>
      </c>
      <c r="F26">
        <v>190</v>
      </c>
      <c r="G26">
        <v>200</v>
      </c>
    </row>
    <row r="27" spans="2:9" x14ac:dyDescent="0.3">
      <c r="C27" t="s">
        <v>279</v>
      </c>
      <c r="E27">
        <v>-300</v>
      </c>
      <c r="F27">
        <v>-250</v>
      </c>
      <c r="G27">
        <v>-210</v>
      </c>
    </row>
    <row r="28" spans="2:9" x14ac:dyDescent="0.3">
      <c r="C28" t="s">
        <v>211</v>
      </c>
      <c r="E28">
        <f>SUM(E25:E27)</f>
        <v>250</v>
      </c>
      <c r="F28">
        <f t="shared" ref="F28:G28" si="3">SUM(F25:F27)</f>
        <v>360</v>
      </c>
      <c r="G28">
        <f t="shared" si="3"/>
        <v>430</v>
      </c>
    </row>
    <row r="29" spans="2:9" x14ac:dyDescent="0.3">
      <c r="C29" t="s">
        <v>220</v>
      </c>
      <c r="G29">
        <f>G28*(1+3%)/(12%-3%)</f>
        <v>4921.1111111111113</v>
      </c>
    </row>
    <row r="30" spans="2:9" x14ac:dyDescent="0.3">
      <c r="C30" t="s">
        <v>145</v>
      </c>
      <c r="D30">
        <f>SUM(D24:D29)</f>
        <v>-600</v>
      </c>
      <c r="E30">
        <f>E28</f>
        <v>250</v>
      </c>
      <c r="F30">
        <f>F28</f>
        <v>360</v>
      </c>
      <c r="G30">
        <f>SUM(G28:G29)</f>
        <v>5351.1111111111113</v>
      </c>
    </row>
    <row r="31" spans="2:9" x14ac:dyDescent="0.3">
      <c r="C31" t="s">
        <v>252</v>
      </c>
      <c r="D31" s="4">
        <v>0.12</v>
      </c>
    </row>
    <row r="32" spans="2:9" x14ac:dyDescent="0.3">
      <c r="C32" s="1" t="s">
        <v>205</v>
      </c>
      <c r="D32" s="11">
        <f>NPV(D31,E30:G30)+D30</f>
        <v>3719.0192743764164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505EC-9411-49B9-842F-CBD369F3D6CE}">
  <dimension ref="A2:I55"/>
  <sheetViews>
    <sheetView topLeftCell="A10" zoomScale="88" workbookViewId="0">
      <selection activeCell="C49" sqref="C49"/>
    </sheetView>
  </sheetViews>
  <sheetFormatPr defaultRowHeight="15.05" x14ac:dyDescent="0.3"/>
  <cols>
    <col min="2" max="2" width="23.5546875" bestFit="1" customWidth="1"/>
    <col min="3" max="6" width="11.6640625" customWidth="1"/>
  </cols>
  <sheetData>
    <row r="2" spans="2:9" x14ac:dyDescent="0.3">
      <c r="B2" s="1" t="s">
        <v>283</v>
      </c>
    </row>
    <row r="5" spans="2:9" x14ac:dyDescent="0.3">
      <c r="C5" t="s">
        <v>170</v>
      </c>
      <c r="D5" t="s">
        <v>233</v>
      </c>
      <c r="E5" t="s">
        <v>288</v>
      </c>
      <c r="F5" t="s">
        <v>287</v>
      </c>
      <c r="G5" t="s">
        <v>133</v>
      </c>
      <c r="H5" t="s">
        <v>218</v>
      </c>
    </row>
    <row r="6" spans="2:9" x14ac:dyDescent="0.3">
      <c r="B6" s="1" t="s">
        <v>284</v>
      </c>
      <c r="C6">
        <v>102</v>
      </c>
      <c r="F6" s="5">
        <f>C6/(C6+C7)</f>
        <v>0.64556962025316456</v>
      </c>
      <c r="G6">
        <v>0.85</v>
      </c>
    </row>
    <row r="7" spans="2:9" x14ac:dyDescent="0.3">
      <c r="B7" s="1" t="s">
        <v>285</v>
      </c>
      <c r="C7">
        <v>56</v>
      </c>
      <c r="F7" s="5">
        <f>1-F6</f>
        <v>0.35443037974683544</v>
      </c>
      <c r="G7">
        <v>1.18</v>
      </c>
    </row>
    <row r="8" spans="2:9" x14ac:dyDescent="0.3">
      <c r="B8" t="s">
        <v>286</v>
      </c>
      <c r="D8" s="4">
        <v>0.3</v>
      </c>
      <c r="E8" s="4">
        <v>0.7</v>
      </c>
      <c r="G8" s="7">
        <f>(G6*F6)+(G7*F7)</f>
        <v>0.9669620253164557</v>
      </c>
      <c r="H8" s="7">
        <f>(G8*(E8+D9))/E8</f>
        <v>1.306780108499096</v>
      </c>
      <c r="I8">
        <f>((E8+D9)/E8)*G8</f>
        <v>1.3067801084990958</v>
      </c>
    </row>
    <row r="9" spans="2:9" x14ac:dyDescent="0.3">
      <c r="D9" s="10">
        <f>D8*82%</f>
        <v>0.24599999999999997</v>
      </c>
    </row>
    <row r="10" spans="2:9" x14ac:dyDescent="0.3">
      <c r="B10" t="s">
        <v>38</v>
      </c>
      <c r="C10" s="5">
        <v>3.6999999999999998E-2</v>
      </c>
    </row>
    <row r="11" spans="2:9" x14ac:dyDescent="0.3">
      <c r="B11" t="s">
        <v>289</v>
      </c>
      <c r="C11" s="5">
        <v>8.1000000000000003E-2</v>
      </c>
    </row>
    <row r="13" spans="2:9" x14ac:dyDescent="0.3">
      <c r="B13" t="s">
        <v>70</v>
      </c>
      <c r="C13" s="5">
        <f>C10+C11*H8</f>
        <v>0.14284918878842678</v>
      </c>
    </row>
    <row r="14" spans="2:9" x14ac:dyDescent="0.3">
      <c r="B14" t="s">
        <v>87</v>
      </c>
      <c r="C14" s="5">
        <f>(C10+4.1%)*82%</f>
        <v>6.3959999999999989E-2</v>
      </c>
    </row>
    <row r="15" spans="2:9" x14ac:dyDescent="0.3">
      <c r="B15" s="1" t="s">
        <v>219</v>
      </c>
      <c r="C15" s="13">
        <f>(C13*E8)+(C14*D8)</f>
        <v>0.11918243215189873</v>
      </c>
    </row>
    <row r="18" spans="1:6" x14ac:dyDescent="0.3">
      <c r="A18" s="1" t="s">
        <v>290</v>
      </c>
      <c r="B18" s="1" t="s">
        <v>291</v>
      </c>
    </row>
    <row r="20" spans="1:6" x14ac:dyDescent="0.3">
      <c r="B20" t="s">
        <v>292</v>
      </c>
      <c r="C20" s="7">
        <f>C39-C41</f>
        <v>78.769000545990565</v>
      </c>
    </row>
    <row r="21" spans="1:6" x14ac:dyDescent="0.3">
      <c r="B21" t="s">
        <v>295</v>
      </c>
      <c r="C21">
        <f>C50</f>
        <v>0</v>
      </c>
    </row>
    <row r="22" spans="1:6" x14ac:dyDescent="0.3">
      <c r="B22" t="s">
        <v>176</v>
      </c>
      <c r="C22" s="7">
        <f>C20-C21</f>
        <v>78.769000545990565</v>
      </c>
    </row>
    <row r="23" spans="1:6" x14ac:dyDescent="0.3">
      <c r="B23" t="s">
        <v>300</v>
      </c>
    </row>
    <row r="27" spans="1:6" x14ac:dyDescent="0.3">
      <c r="B27" s="1" t="s">
        <v>293</v>
      </c>
    </row>
    <row r="28" spans="1:6" x14ac:dyDescent="0.3">
      <c r="B28" t="s">
        <v>2</v>
      </c>
      <c r="C28">
        <v>1</v>
      </c>
      <c r="D28">
        <v>2</v>
      </c>
      <c r="E28">
        <v>3</v>
      </c>
      <c r="F28">
        <v>4</v>
      </c>
    </row>
    <row r="29" spans="1:6" x14ac:dyDescent="0.3">
      <c r="B29" t="s">
        <v>209</v>
      </c>
      <c r="C29">
        <v>27.2</v>
      </c>
      <c r="D29">
        <f>C29*1.05</f>
        <v>28.56</v>
      </c>
      <c r="E29">
        <f t="shared" ref="E29:F29" si="0">D29*1.05</f>
        <v>29.988</v>
      </c>
      <c r="F29">
        <f t="shared" si="0"/>
        <v>31.487400000000001</v>
      </c>
    </row>
    <row r="30" spans="1:6" x14ac:dyDescent="0.3">
      <c r="B30" t="s">
        <v>43</v>
      </c>
      <c r="C30">
        <f>C29*-18%</f>
        <v>-4.8959999999999999</v>
      </c>
      <c r="D30">
        <f t="shared" ref="D30:F30" si="1">D29*-18%</f>
        <v>-5.1407999999999996</v>
      </c>
      <c r="E30">
        <f t="shared" si="1"/>
        <v>-5.3978399999999995</v>
      </c>
      <c r="F30">
        <f t="shared" si="1"/>
        <v>-5.667732</v>
      </c>
    </row>
    <row r="31" spans="1:6" x14ac:dyDescent="0.3">
      <c r="B31" t="s">
        <v>210</v>
      </c>
      <c r="C31">
        <f>-2.7</f>
        <v>-2.7</v>
      </c>
      <c r="D31" s="7">
        <f>(-D29+C29)*2.13</f>
        <v>-2.8967999999999985</v>
      </c>
      <c r="E31" s="7">
        <f t="shared" ref="E31:F31" si="2">(-E29+D29)*2.13</f>
        <v>-3.0416400000000015</v>
      </c>
      <c r="F31" s="7">
        <f t="shared" si="2"/>
        <v>-3.1937220000000028</v>
      </c>
    </row>
    <row r="33" spans="2:7" x14ac:dyDescent="0.3">
      <c r="B33" t="s">
        <v>211</v>
      </c>
      <c r="C33" s="7">
        <f>SUM(C29:C32)</f>
        <v>19.603999999999999</v>
      </c>
      <c r="D33" s="7">
        <f t="shared" ref="D33:F33" si="3">SUM(D29:D32)</f>
        <v>20.522400000000001</v>
      </c>
      <c r="E33" s="7">
        <f t="shared" si="3"/>
        <v>21.54852</v>
      </c>
      <c r="F33" s="7">
        <f t="shared" si="3"/>
        <v>22.625945999999999</v>
      </c>
    </row>
    <row r="34" spans="2:7" x14ac:dyDescent="0.3">
      <c r="B34" t="s">
        <v>220</v>
      </c>
      <c r="D34" s="7"/>
      <c r="E34" s="7"/>
      <c r="F34" s="7">
        <f>F33*(1+3%)/(C15-3%)</f>
        <v>261.31519199102524</v>
      </c>
      <c r="G34">
        <f>F34*1.12^-4</f>
        <v>166.0705286721259</v>
      </c>
    </row>
    <row r="35" spans="2:7" x14ac:dyDescent="0.3">
      <c r="B35" t="s">
        <v>196</v>
      </c>
      <c r="C35">
        <v>9.1999999999999993</v>
      </c>
      <c r="D35">
        <v>9.1999999999999993</v>
      </c>
      <c r="E35">
        <v>9.1999999999999993</v>
      </c>
      <c r="F35">
        <v>9.1999999999999993</v>
      </c>
    </row>
    <row r="36" spans="2:7" x14ac:dyDescent="0.3">
      <c r="B36" t="s">
        <v>145</v>
      </c>
      <c r="C36" s="7">
        <f>SUM(C33:C35)</f>
        <v>28.803999999999998</v>
      </c>
      <c r="D36" s="7">
        <f t="shared" ref="D36:F36" si="4">SUM(D33:D35)</f>
        <v>29.7224</v>
      </c>
      <c r="E36" s="7">
        <f t="shared" si="4"/>
        <v>30.748519999999999</v>
      </c>
      <c r="F36" s="7">
        <f t="shared" si="4"/>
        <v>293.14113799102523</v>
      </c>
    </row>
    <row r="37" spans="2:7" x14ac:dyDescent="0.3">
      <c r="B37" t="s">
        <v>252</v>
      </c>
      <c r="C37" s="5">
        <f>C15</f>
        <v>0.11918243215189873</v>
      </c>
    </row>
    <row r="38" spans="2:7" x14ac:dyDescent="0.3">
      <c r="B38" t="s">
        <v>205</v>
      </c>
      <c r="C38" s="7">
        <f>NPV(C37,C36:F36)</f>
        <v>258.24142935141509</v>
      </c>
    </row>
    <row r="39" spans="2:7" x14ac:dyDescent="0.3">
      <c r="B39" s="1" t="s">
        <v>206</v>
      </c>
      <c r="C39" s="11">
        <f>C38*70%</f>
        <v>180.76900054599056</v>
      </c>
    </row>
    <row r="41" spans="2:7" x14ac:dyDescent="0.3">
      <c r="B41" t="s">
        <v>294</v>
      </c>
      <c r="C41">
        <v>102</v>
      </c>
    </row>
    <row r="44" spans="2:7" x14ac:dyDescent="0.3">
      <c r="B44" s="1" t="s">
        <v>295</v>
      </c>
    </row>
    <row r="45" spans="2:7" x14ac:dyDescent="0.3">
      <c r="B45" t="s">
        <v>296</v>
      </c>
      <c r="C45">
        <v>10</v>
      </c>
      <c r="E45" t="s">
        <v>189</v>
      </c>
      <c r="G45">
        <f>C45*3</f>
        <v>30</v>
      </c>
    </row>
    <row r="46" spans="2:7" x14ac:dyDescent="0.3">
      <c r="B46" t="s">
        <v>297</v>
      </c>
      <c r="C46" s="16">
        <v>0.12569444444444444</v>
      </c>
      <c r="E46" t="s">
        <v>284</v>
      </c>
      <c r="G46">
        <v>40</v>
      </c>
    </row>
    <row r="47" spans="2:7" x14ac:dyDescent="0.3">
      <c r="B47" t="s">
        <v>298</v>
      </c>
      <c r="C47">
        <f>C45*3</f>
        <v>30</v>
      </c>
      <c r="E47" t="s">
        <v>486</v>
      </c>
      <c r="G47">
        <f>G45+G46</f>
        <v>70</v>
      </c>
    </row>
    <row r="48" spans="2:7" x14ac:dyDescent="0.3">
      <c r="B48" t="s">
        <v>299</v>
      </c>
      <c r="C48">
        <f>102/40</f>
        <v>2.5499999999999998</v>
      </c>
    </row>
    <row r="49" spans="2:7" x14ac:dyDescent="0.3">
      <c r="B49" t="s">
        <v>270</v>
      </c>
      <c r="C49" s="7">
        <f>C39/70</f>
        <v>2.5824142935141507</v>
      </c>
    </row>
    <row r="50" spans="2:7" x14ac:dyDescent="0.3">
      <c r="B50" t="s">
        <v>197</v>
      </c>
    </row>
    <row r="53" spans="2:7" x14ac:dyDescent="0.3">
      <c r="B53" s="1" t="s">
        <v>478</v>
      </c>
      <c r="E53" s="1" t="s">
        <v>485</v>
      </c>
    </row>
    <row r="54" spans="2:7" x14ac:dyDescent="0.3">
      <c r="B54" t="s">
        <v>484</v>
      </c>
      <c r="C54" s="7">
        <f>C39-102</f>
        <v>78.769000545990565</v>
      </c>
      <c r="E54" t="s">
        <v>179</v>
      </c>
      <c r="G54" s="7">
        <f>C55</f>
        <v>77.472428805424528</v>
      </c>
    </row>
    <row r="55" spans="2:7" x14ac:dyDescent="0.3">
      <c r="B55" t="s">
        <v>179</v>
      </c>
      <c r="C55" s="7">
        <f>C49*G45</f>
        <v>77.472428805424528</v>
      </c>
      <c r="E55" t="s">
        <v>292</v>
      </c>
      <c r="G55">
        <f>56</f>
        <v>56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834DA-1E1F-40FD-9854-6CA44F04682C}">
  <dimension ref="A3:H15"/>
  <sheetViews>
    <sheetView zoomScale="116" workbookViewId="0">
      <selection activeCell="C15" sqref="C15"/>
    </sheetView>
  </sheetViews>
  <sheetFormatPr defaultRowHeight="15.05" x14ac:dyDescent="0.3"/>
  <cols>
    <col min="1" max="1" width="13.21875" customWidth="1"/>
    <col min="3" max="3" width="10.44140625" customWidth="1"/>
    <col min="4" max="4" width="10" customWidth="1"/>
  </cols>
  <sheetData>
    <row r="3" spans="1:8" x14ac:dyDescent="0.3">
      <c r="C3" s="1" t="s">
        <v>487</v>
      </c>
      <c r="D3" s="1" t="s">
        <v>488</v>
      </c>
    </row>
    <row r="4" spans="1:8" x14ac:dyDescent="0.3">
      <c r="A4" t="s">
        <v>167</v>
      </c>
      <c r="C4">
        <v>80</v>
      </c>
      <c r="D4">
        <v>100</v>
      </c>
      <c r="F4" t="s">
        <v>120</v>
      </c>
      <c r="H4" s="5">
        <f>3.8%+(1.4*8%)</f>
        <v>0.15</v>
      </c>
    </row>
    <row r="5" spans="1:8" x14ac:dyDescent="0.3">
      <c r="A5" t="s">
        <v>270</v>
      </c>
      <c r="C5">
        <v>6</v>
      </c>
      <c r="D5">
        <v>5.4</v>
      </c>
    </row>
    <row r="6" spans="1:8" x14ac:dyDescent="0.3">
      <c r="A6" t="s">
        <v>170</v>
      </c>
      <c r="D6">
        <f>D4*D5</f>
        <v>540</v>
      </c>
    </row>
    <row r="8" spans="1:8" x14ac:dyDescent="0.3">
      <c r="A8" t="s">
        <v>489</v>
      </c>
      <c r="D8">
        <f>D6*1.14</f>
        <v>615.59999999999991</v>
      </c>
    </row>
    <row r="11" spans="1:8" x14ac:dyDescent="0.3">
      <c r="A11" t="s">
        <v>251</v>
      </c>
      <c r="C11">
        <v>70</v>
      </c>
    </row>
    <row r="12" spans="1:8" x14ac:dyDescent="0.3">
      <c r="A12" t="s">
        <v>196</v>
      </c>
    </row>
    <row r="14" spans="1:8" x14ac:dyDescent="0.3">
      <c r="C14">
        <f>1167.6-480</f>
        <v>687.59999999999991</v>
      </c>
    </row>
    <row r="15" spans="1:8" x14ac:dyDescent="0.3">
      <c r="B15" t="s">
        <v>179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FAC5C-88C8-4692-9E80-9AFD1356ED8C}">
  <dimension ref="B2:N41"/>
  <sheetViews>
    <sheetView zoomScale="117" zoomScaleNormal="130" workbookViewId="0">
      <selection activeCell="C43" sqref="C43"/>
    </sheetView>
  </sheetViews>
  <sheetFormatPr defaultRowHeight="15.05" x14ac:dyDescent="0.3"/>
  <cols>
    <col min="2" max="2" width="16.88671875" bestFit="1" customWidth="1"/>
    <col min="3" max="3" width="8" bestFit="1" customWidth="1"/>
    <col min="9" max="9" width="12.109375" bestFit="1" customWidth="1"/>
    <col min="10" max="10" width="12.109375" customWidth="1"/>
  </cols>
  <sheetData>
    <row r="2" spans="2:14" x14ac:dyDescent="0.3">
      <c r="B2" s="1" t="s">
        <v>306</v>
      </c>
    </row>
    <row r="4" spans="2:14" x14ac:dyDescent="0.3">
      <c r="B4" t="s">
        <v>2</v>
      </c>
      <c r="C4">
        <v>0</v>
      </c>
      <c r="D4">
        <v>1</v>
      </c>
      <c r="E4">
        <v>2</v>
      </c>
      <c r="F4">
        <v>3</v>
      </c>
      <c r="G4">
        <v>4</v>
      </c>
    </row>
    <row r="5" spans="2:14" x14ac:dyDescent="0.3">
      <c r="B5" t="s">
        <v>305</v>
      </c>
      <c r="D5">
        <v>4300</v>
      </c>
      <c r="E5">
        <v>19200</v>
      </c>
      <c r="F5">
        <v>35600</v>
      </c>
      <c r="G5">
        <v>25400</v>
      </c>
    </row>
    <row r="6" spans="2:14" x14ac:dyDescent="0.3">
      <c r="B6" t="s">
        <v>304</v>
      </c>
      <c r="D6">
        <v>1200</v>
      </c>
      <c r="E6">
        <f>D6*1.08</f>
        <v>1296</v>
      </c>
      <c r="F6" s="7">
        <f>E6*1.08</f>
        <v>1399.68</v>
      </c>
      <c r="G6" s="7">
        <f>F6*1.08</f>
        <v>1511.6544000000001</v>
      </c>
      <c r="I6" s="1" t="s">
        <v>131</v>
      </c>
      <c r="J6">
        <v>0</v>
      </c>
      <c r="K6">
        <v>1</v>
      </c>
      <c r="L6">
        <v>2</v>
      </c>
      <c r="M6">
        <v>3</v>
      </c>
      <c r="N6">
        <v>4</v>
      </c>
    </row>
    <row r="7" spans="2:14" x14ac:dyDescent="0.3">
      <c r="B7" t="s">
        <v>303</v>
      </c>
      <c r="D7">
        <v>-480</v>
      </c>
      <c r="E7">
        <f>D7*1.04</f>
        <v>-499.20000000000005</v>
      </c>
      <c r="F7" s="7">
        <f>E7*1.04</f>
        <v>-519.16800000000012</v>
      </c>
      <c r="G7" s="7">
        <f>F7*1.04</f>
        <v>-539.9347200000002</v>
      </c>
      <c r="I7" t="s">
        <v>13</v>
      </c>
      <c r="K7">
        <f>D10*20%</f>
        <v>1032</v>
      </c>
      <c r="L7">
        <f>(E10-D10)*10%</f>
        <v>1972.3200000000002</v>
      </c>
      <c r="M7">
        <f t="shared" ref="M7:N7" si="0">(F10-E10)*10%</f>
        <v>2494.5408000000002</v>
      </c>
      <c r="N7">
        <f t="shared" si="0"/>
        <v>-1143.2586239999998</v>
      </c>
    </row>
    <row r="8" spans="2:14" x14ac:dyDescent="0.3">
      <c r="B8" t="s">
        <v>83</v>
      </c>
      <c r="D8">
        <v>-2700</v>
      </c>
      <c r="E8">
        <f>D8*1.1</f>
        <v>-2970.0000000000005</v>
      </c>
      <c r="F8">
        <f>E8*1.1</f>
        <v>-3267.0000000000009</v>
      </c>
      <c r="G8">
        <f>F8*1.1</f>
        <v>-3593.7000000000012</v>
      </c>
      <c r="I8" t="s">
        <v>14</v>
      </c>
      <c r="J8">
        <f>-K7+J7</f>
        <v>-1032</v>
      </c>
      <c r="K8">
        <f>-L7</f>
        <v>-1972.3200000000002</v>
      </c>
      <c r="L8">
        <f t="shared" ref="L8:M8" si="1">-M7</f>
        <v>-2494.5408000000002</v>
      </c>
      <c r="M8">
        <f t="shared" si="1"/>
        <v>1143.2586239999998</v>
      </c>
      <c r="N8">
        <f>-SUM(J8:M8)</f>
        <v>4355.6021760000003</v>
      </c>
    </row>
    <row r="9" spans="2:14" x14ac:dyDescent="0.3">
      <c r="B9" s="1" t="s">
        <v>57</v>
      </c>
    </row>
    <row r="10" spans="2:14" x14ac:dyDescent="0.3">
      <c r="B10" t="s">
        <v>81</v>
      </c>
      <c r="D10">
        <f>D5*D6/1000</f>
        <v>5160</v>
      </c>
      <c r="E10">
        <f>E5*E6/1000</f>
        <v>24883.200000000001</v>
      </c>
      <c r="F10">
        <f>F5*F6/1000</f>
        <v>49828.608</v>
      </c>
      <c r="G10">
        <f>G5*G6/1000</f>
        <v>38396.021760000003</v>
      </c>
    </row>
    <row r="11" spans="2:14" x14ac:dyDescent="0.3">
      <c r="B11" t="s">
        <v>302</v>
      </c>
      <c r="D11">
        <f>D5*D7/1000</f>
        <v>-2064</v>
      </c>
      <c r="E11">
        <f>E5*E7/1000</f>
        <v>-9584.64</v>
      </c>
      <c r="F11">
        <f>F5*F7/1000</f>
        <v>-18482.380800000006</v>
      </c>
      <c r="G11">
        <f>G5*G7/1000</f>
        <v>-13714.341888000006</v>
      </c>
    </row>
    <row r="12" spans="2:14" x14ac:dyDescent="0.3">
      <c r="B12" t="s">
        <v>83</v>
      </c>
      <c r="D12">
        <f>D8</f>
        <v>-2700</v>
      </c>
      <c r="E12">
        <f>E8</f>
        <v>-2970.0000000000005</v>
      </c>
      <c r="F12">
        <f>F8</f>
        <v>-3267.0000000000009</v>
      </c>
      <c r="G12">
        <f>G8</f>
        <v>-3593.7000000000012</v>
      </c>
    </row>
    <row r="13" spans="2:14" x14ac:dyDescent="0.3">
      <c r="B13" t="s">
        <v>301</v>
      </c>
      <c r="D13">
        <f>D11*2</f>
        <v>-4128</v>
      </c>
      <c r="E13">
        <f>E11*60%</f>
        <v>-5750.7839999999997</v>
      </c>
      <c r="F13">
        <f>F11*10%</f>
        <v>-1848.2380800000008</v>
      </c>
      <c r="G13">
        <f>G11*10%</f>
        <v>-1371.4341888000008</v>
      </c>
      <c r="J13">
        <f>35000*15%</f>
        <v>5250</v>
      </c>
    </row>
    <row r="14" spans="2:14" x14ac:dyDescent="0.3">
      <c r="B14" t="s">
        <v>7</v>
      </c>
      <c r="D14">
        <f>(-35000)*15%</f>
        <v>-5250</v>
      </c>
      <c r="E14">
        <f t="shared" ref="E14:F14" si="2">(-35000)*15%</f>
        <v>-5250</v>
      </c>
      <c r="F14">
        <f t="shared" si="2"/>
        <v>-5250</v>
      </c>
      <c r="G14">
        <v>-12250</v>
      </c>
    </row>
    <row r="15" spans="2:14" x14ac:dyDescent="0.3">
      <c r="B15" s="1" t="s">
        <v>209</v>
      </c>
      <c r="D15">
        <f>SUM(D10:D14)</f>
        <v>-8982</v>
      </c>
      <c r="E15">
        <f t="shared" ref="E15:G15" si="3">SUM(E10:E14)</f>
        <v>1327.7760000000017</v>
      </c>
      <c r="F15">
        <f t="shared" si="3"/>
        <v>20980.989119999995</v>
      </c>
      <c r="G15">
        <f t="shared" si="3"/>
        <v>7466.5456831999945</v>
      </c>
    </row>
    <row r="16" spans="2:14" x14ac:dyDescent="0.3">
      <c r="B16" t="s">
        <v>43</v>
      </c>
      <c r="E16">
        <v>0</v>
      </c>
      <c r="F16">
        <f>(F15+E15+D15)*-20%</f>
        <v>-2665.3530239999996</v>
      </c>
      <c r="G16">
        <f>G15*-20%</f>
        <v>-1493.309136639999</v>
      </c>
    </row>
    <row r="17" spans="2:7" x14ac:dyDescent="0.3">
      <c r="B17" t="s">
        <v>11</v>
      </c>
      <c r="D17">
        <f>-D14</f>
        <v>5250</v>
      </c>
      <c r="E17">
        <f t="shared" ref="E17:G17" si="4">-E14</f>
        <v>5250</v>
      </c>
      <c r="F17">
        <f t="shared" si="4"/>
        <v>5250</v>
      </c>
      <c r="G17">
        <f t="shared" si="4"/>
        <v>12250</v>
      </c>
    </row>
    <row r="18" spans="2:7" x14ac:dyDescent="0.3">
      <c r="B18" t="s">
        <v>131</v>
      </c>
      <c r="C18">
        <f>J8</f>
        <v>-1032</v>
      </c>
      <c r="D18">
        <f t="shared" ref="D18:G18" si="5">K8</f>
        <v>-1972.3200000000002</v>
      </c>
      <c r="E18">
        <f t="shared" si="5"/>
        <v>-2494.5408000000002</v>
      </c>
      <c r="F18">
        <f t="shared" si="5"/>
        <v>1143.2586239999998</v>
      </c>
      <c r="G18">
        <f t="shared" si="5"/>
        <v>4355.6021760000003</v>
      </c>
    </row>
    <row r="19" spans="2:7" x14ac:dyDescent="0.3">
      <c r="B19" t="s">
        <v>16</v>
      </c>
      <c r="C19">
        <v>-35000</v>
      </c>
    </row>
    <row r="20" spans="2:7" x14ac:dyDescent="0.3">
      <c r="B20" t="s">
        <v>17</v>
      </c>
      <c r="G20">
        <v>7000</v>
      </c>
    </row>
    <row r="21" spans="2:7" x14ac:dyDescent="0.3">
      <c r="B21" t="s">
        <v>307</v>
      </c>
      <c r="C21">
        <f>SUM(C15:C20)</f>
        <v>-36032</v>
      </c>
      <c r="D21">
        <f t="shared" ref="D21:G21" si="6">SUM(D15:D20)</f>
        <v>-5704.32</v>
      </c>
      <c r="E21">
        <f t="shared" si="6"/>
        <v>4083.2352000000014</v>
      </c>
      <c r="F21">
        <f t="shared" si="6"/>
        <v>24708.894719999993</v>
      </c>
      <c r="G21">
        <f t="shared" si="6"/>
        <v>29578.838722559994</v>
      </c>
    </row>
    <row r="22" spans="2:7" x14ac:dyDescent="0.3">
      <c r="B22" t="s">
        <v>308</v>
      </c>
      <c r="C22" s="4">
        <v>0.11</v>
      </c>
    </row>
    <row r="23" spans="2:7" x14ac:dyDescent="0.3">
      <c r="B23" t="s">
        <v>64</v>
      </c>
      <c r="C23" s="7">
        <f>NPV(C22,D21:G21)+C21</f>
        <v>-305.55363196890539</v>
      </c>
    </row>
    <row r="25" spans="2:7" x14ac:dyDescent="0.3">
      <c r="B25" s="1" t="s">
        <v>309</v>
      </c>
    </row>
    <row r="27" spans="2:7" x14ac:dyDescent="0.3">
      <c r="B27" t="s">
        <v>310</v>
      </c>
    </row>
    <row r="29" spans="2:7" x14ac:dyDescent="0.3">
      <c r="B29" t="s">
        <v>311</v>
      </c>
      <c r="C29">
        <v>3</v>
      </c>
      <c r="D29">
        <v>4</v>
      </c>
    </row>
    <row r="30" spans="2:7" x14ac:dyDescent="0.3">
      <c r="B30" t="s">
        <v>18</v>
      </c>
      <c r="C30">
        <f>F21</f>
        <v>24708.894719999993</v>
      </c>
      <c r="D30">
        <f>G21</f>
        <v>29578.838722559994</v>
      </c>
    </row>
    <row r="31" spans="2:7" x14ac:dyDescent="0.3">
      <c r="B31" t="s">
        <v>312</v>
      </c>
      <c r="C31">
        <f>C30*1.1^-C29</f>
        <v>18564.158317054837</v>
      </c>
      <c r="D31">
        <f>D30*1.1^-D29</f>
        <v>20202.744841581851</v>
      </c>
    </row>
    <row r="33" spans="2:4" x14ac:dyDescent="0.3">
      <c r="B33" t="s">
        <v>313</v>
      </c>
      <c r="D33">
        <f>D31+C31</f>
        <v>38766.903158636691</v>
      </c>
    </row>
    <row r="34" spans="2:4" x14ac:dyDescent="0.3">
      <c r="B34" t="s">
        <v>309</v>
      </c>
      <c r="D34">
        <v>30000</v>
      </c>
    </row>
    <row r="35" spans="2:4" x14ac:dyDescent="0.3">
      <c r="B35" t="s">
        <v>314</v>
      </c>
      <c r="D35">
        <f>-D33+D34</f>
        <v>-8766.9031586366909</v>
      </c>
    </row>
    <row r="37" spans="2:4" x14ac:dyDescent="0.3">
      <c r="B37" s="1" t="s">
        <v>315</v>
      </c>
    </row>
    <row r="38" spans="2:4" x14ac:dyDescent="0.3">
      <c r="B38" t="s">
        <v>316</v>
      </c>
    </row>
    <row r="39" spans="2:4" x14ac:dyDescent="0.3">
      <c r="B39" t="s">
        <v>317</v>
      </c>
    </row>
    <row r="40" spans="2:4" x14ac:dyDescent="0.3">
      <c r="B40" t="s">
        <v>318</v>
      </c>
    </row>
    <row r="41" spans="2:4" x14ac:dyDescent="0.3">
      <c r="B41" t="s">
        <v>319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01800-D9DB-43B7-86B3-A36B509FCDD6}">
  <dimension ref="A2:F39"/>
  <sheetViews>
    <sheetView topLeftCell="A26" zoomScale="133" workbookViewId="0">
      <selection activeCell="D38" sqref="D38"/>
    </sheetView>
  </sheetViews>
  <sheetFormatPr defaultRowHeight="15.05" x14ac:dyDescent="0.3"/>
  <cols>
    <col min="4" max="4" width="13.5546875" bestFit="1" customWidth="1"/>
    <col min="5" max="5" width="11.33203125" bestFit="1" customWidth="1"/>
  </cols>
  <sheetData>
    <row r="2" spans="1:4" x14ac:dyDescent="0.3">
      <c r="B2" s="1" t="s">
        <v>320</v>
      </c>
    </row>
    <row r="4" spans="1:4" x14ac:dyDescent="0.3">
      <c r="B4" t="s">
        <v>322</v>
      </c>
      <c r="D4" s="3">
        <v>84000000</v>
      </c>
    </row>
    <row r="5" spans="1:4" x14ac:dyDescent="0.3">
      <c r="B5" t="s">
        <v>324</v>
      </c>
      <c r="D5" s="3">
        <v>2000000</v>
      </c>
    </row>
    <row r="6" spans="1:4" x14ac:dyDescent="0.3">
      <c r="B6" t="s">
        <v>323</v>
      </c>
      <c r="D6">
        <v>6</v>
      </c>
    </row>
    <row r="8" spans="1:4" x14ac:dyDescent="0.3">
      <c r="A8" s="1" t="s">
        <v>223</v>
      </c>
      <c r="B8" s="1" t="s">
        <v>321</v>
      </c>
      <c r="D8">
        <f>(D4*D6)/(D5*3)</f>
        <v>84</v>
      </c>
    </row>
    <row r="10" spans="1:4" x14ac:dyDescent="0.3">
      <c r="A10" t="s">
        <v>103</v>
      </c>
      <c r="B10" s="1" t="s">
        <v>197</v>
      </c>
      <c r="D10" s="3">
        <f>(0.411*D5*D8*3)/1200</f>
        <v>172620</v>
      </c>
    </row>
    <row r="12" spans="1:4" x14ac:dyDescent="0.3">
      <c r="A12" t="s">
        <v>107</v>
      </c>
      <c r="B12" t="s">
        <v>325</v>
      </c>
    </row>
    <row r="14" spans="1:4" x14ac:dyDescent="0.3">
      <c r="C14" t="s">
        <v>326</v>
      </c>
      <c r="D14" t="s">
        <v>327</v>
      </c>
    </row>
    <row r="15" spans="1:4" x14ac:dyDescent="0.3">
      <c r="B15" t="s">
        <v>328</v>
      </c>
      <c r="C15">
        <f>100-4.5</f>
        <v>95.5</v>
      </c>
      <c r="D15">
        <f>100-5.1</f>
        <v>94.9</v>
      </c>
    </row>
    <row r="16" spans="1:4" x14ac:dyDescent="0.3">
      <c r="B16" t="s">
        <v>329</v>
      </c>
      <c r="C16">
        <v>95.05</v>
      </c>
      <c r="D16">
        <f>D15-D18</f>
        <v>94.81</v>
      </c>
    </row>
    <row r="18" spans="2:4" x14ac:dyDescent="0.3">
      <c r="B18" t="s">
        <v>330</v>
      </c>
      <c r="C18">
        <f>C15-C16</f>
        <v>0.45000000000000284</v>
      </c>
      <c r="D18">
        <f>C18*1/5</f>
        <v>9.0000000000000566E-2</v>
      </c>
    </row>
    <row r="21" spans="2:4" x14ac:dyDescent="0.3">
      <c r="B21" t="s">
        <v>331</v>
      </c>
      <c r="D21">
        <v>95.25</v>
      </c>
    </row>
    <row r="22" spans="2:4" x14ac:dyDescent="0.3">
      <c r="B22" t="s">
        <v>332</v>
      </c>
      <c r="D22">
        <f>D16</f>
        <v>94.81</v>
      </c>
    </row>
    <row r="24" spans="2:4" x14ac:dyDescent="0.3">
      <c r="B24" t="s">
        <v>176</v>
      </c>
      <c r="D24">
        <f>D21-D22</f>
        <v>0.43999999999999773</v>
      </c>
    </row>
    <row r="25" spans="2:4" x14ac:dyDescent="0.3">
      <c r="B25" t="s">
        <v>333</v>
      </c>
      <c r="D25" s="3">
        <f>D24*D5*D8*3/1200</f>
        <v>184799.99999999904</v>
      </c>
    </row>
    <row r="28" spans="2:4" x14ac:dyDescent="0.3">
      <c r="B28" t="s">
        <v>139</v>
      </c>
      <c r="D28" s="6">
        <f>D4*(5.1%+0.5%)*6/12</f>
        <v>2351999.9999999995</v>
      </c>
    </row>
    <row r="30" spans="2:4" x14ac:dyDescent="0.3">
      <c r="B30" s="1" t="s">
        <v>354</v>
      </c>
      <c r="D30" s="6">
        <f>-D28-D10+D25</f>
        <v>-2339820.0000000005</v>
      </c>
    </row>
    <row r="31" spans="2:4" x14ac:dyDescent="0.3">
      <c r="B31" t="s">
        <v>353</v>
      </c>
      <c r="D31" s="5">
        <f>-D30/D4*12/6</f>
        <v>5.571000000000001E-2</v>
      </c>
    </row>
    <row r="33" spans="2:6" x14ac:dyDescent="0.3">
      <c r="D33" t="s">
        <v>355</v>
      </c>
      <c r="E33" t="s">
        <v>350</v>
      </c>
      <c r="F33" t="s">
        <v>359</v>
      </c>
    </row>
    <row r="34" spans="2:6" x14ac:dyDescent="0.3">
      <c r="B34" t="s">
        <v>356</v>
      </c>
      <c r="D34" t="s">
        <v>358</v>
      </c>
      <c r="E34" t="s">
        <v>352</v>
      </c>
      <c r="F34" s="4">
        <v>0.01</v>
      </c>
    </row>
    <row r="35" spans="2:6" x14ac:dyDescent="0.3">
      <c r="B35" t="s">
        <v>357</v>
      </c>
      <c r="D35" s="5">
        <v>5.6000000000000001E-2</v>
      </c>
      <c r="E35" s="5">
        <v>6.0999999999999999E-2</v>
      </c>
      <c r="F35" s="5">
        <f>E35-D35</f>
        <v>4.9999999999999975E-3</v>
      </c>
    </row>
    <row r="37" spans="2:6" x14ac:dyDescent="0.3">
      <c r="B37" t="s">
        <v>360</v>
      </c>
      <c r="D37" t="s">
        <v>361</v>
      </c>
      <c r="E37" s="5">
        <f>E35</f>
        <v>6.0999999999999999E-2</v>
      </c>
    </row>
    <row r="38" spans="2:6" x14ac:dyDescent="0.3">
      <c r="B38" t="s">
        <v>362</v>
      </c>
    </row>
    <row r="39" spans="2:6" x14ac:dyDescent="0.3">
      <c r="B39" t="s">
        <v>363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DD38E-B9BE-4526-9142-BFD4D318CDB5}">
  <dimension ref="A2:G45"/>
  <sheetViews>
    <sheetView zoomScale="130" workbookViewId="0">
      <selection activeCell="C21" sqref="C21"/>
    </sheetView>
  </sheetViews>
  <sheetFormatPr defaultRowHeight="15.05" x14ac:dyDescent="0.3"/>
  <cols>
    <col min="5" max="5" width="11.33203125" bestFit="1" customWidth="1"/>
  </cols>
  <sheetData>
    <row r="2" spans="1:6" x14ac:dyDescent="0.3">
      <c r="D2">
        <v>36000000</v>
      </c>
    </row>
    <row r="3" spans="1:6" x14ac:dyDescent="0.3">
      <c r="B3" t="s">
        <v>335</v>
      </c>
      <c r="D3" s="5">
        <v>5.8999999999999997E-2</v>
      </c>
      <c r="E3" t="s">
        <v>336</v>
      </c>
      <c r="F3" t="s">
        <v>340</v>
      </c>
    </row>
    <row r="4" spans="1:6" x14ac:dyDescent="0.3">
      <c r="B4" t="s">
        <v>334</v>
      </c>
      <c r="D4">
        <f>-36000000*(5.9%+0.4%)*4/12</f>
        <v>-756000</v>
      </c>
      <c r="E4" t="s">
        <v>337</v>
      </c>
      <c r="F4" t="s">
        <v>338</v>
      </c>
    </row>
    <row r="5" spans="1:6" x14ac:dyDescent="0.3">
      <c r="E5" t="s">
        <v>339</v>
      </c>
      <c r="F5">
        <v>93.75</v>
      </c>
    </row>
    <row r="7" spans="1:6" x14ac:dyDescent="0.3">
      <c r="A7" s="1" t="s">
        <v>103</v>
      </c>
      <c r="B7" s="1" t="s">
        <v>321</v>
      </c>
      <c r="D7">
        <f>(D2*4)/(500000*3)</f>
        <v>96</v>
      </c>
    </row>
    <row r="9" spans="1:6" x14ac:dyDescent="0.3">
      <c r="A9" t="s">
        <v>107</v>
      </c>
      <c r="B9" t="s">
        <v>325</v>
      </c>
    </row>
    <row r="11" spans="1:6" x14ac:dyDescent="0.3">
      <c r="C11" t="s">
        <v>326</v>
      </c>
      <c r="D11" t="s">
        <v>327</v>
      </c>
    </row>
    <row r="12" spans="1:6" x14ac:dyDescent="0.3">
      <c r="B12" t="s">
        <v>328</v>
      </c>
      <c r="C12">
        <f>100-5.7</f>
        <v>94.3</v>
      </c>
      <c r="D12">
        <f>100-6.6</f>
        <v>93.4</v>
      </c>
    </row>
    <row r="13" spans="1:6" x14ac:dyDescent="0.3">
      <c r="B13" t="s">
        <v>329</v>
      </c>
      <c r="C13">
        <v>93.95</v>
      </c>
      <c r="D13">
        <f>D12-D15</f>
        <v>93.26</v>
      </c>
    </row>
    <row r="15" spans="1:6" x14ac:dyDescent="0.3">
      <c r="B15" t="s">
        <v>330</v>
      </c>
      <c r="C15">
        <f>C12-C13</f>
        <v>0.34999999999999432</v>
      </c>
      <c r="D15">
        <f>C15*2/5</f>
        <v>0.13999999999999774</v>
      </c>
    </row>
    <row r="17" spans="1:7" x14ac:dyDescent="0.3">
      <c r="A17" s="1" t="s">
        <v>113</v>
      </c>
      <c r="B17" s="1" t="s">
        <v>341</v>
      </c>
    </row>
    <row r="19" spans="1:7" x14ac:dyDescent="0.3">
      <c r="B19" t="s">
        <v>342</v>
      </c>
    </row>
    <row r="21" spans="1:7" x14ac:dyDescent="0.3">
      <c r="B21" t="s">
        <v>343</v>
      </c>
      <c r="C21">
        <f>C13</f>
        <v>93.95</v>
      </c>
    </row>
    <row r="22" spans="1:7" x14ac:dyDescent="0.3">
      <c r="B22" t="s">
        <v>344</v>
      </c>
      <c r="C22">
        <f>D13</f>
        <v>93.26</v>
      </c>
    </row>
    <row r="24" spans="1:7" x14ac:dyDescent="0.3">
      <c r="B24" t="s">
        <v>176</v>
      </c>
      <c r="C24">
        <f>C21-C22</f>
        <v>0.68999999999999773</v>
      </c>
    </row>
    <row r="25" spans="1:7" x14ac:dyDescent="0.3">
      <c r="B25" t="s">
        <v>333</v>
      </c>
      <c r="C25">
        <f>C24*500000*D7*3/1200</f>
        <v>82799.999999999724</v>
      </c>
    </row>
    <row r="27" spans="1:7" x14ac:dyDescent="0.3">
      <c r="B27" t="s">
        <v>345</v>
      </c>
      <c r="D27">
        <f>-D2*(6.6%+0.4%)*4/12</f>
        <v>-840000.00000000012</v>
      </c>
    </row>
    <row r="29" spans="1:7" x14ac:dyDescent="0.3">
      <c r="B29" s="1" t="s">
        <v>334</v>
      </c>
      <c r="C29" s="1"/>
      <c r="D29" s="1">
        <f>D27+C25</f>
        <v>-757200.00000000035</v>
      </c>
    </row>
    <row r="31" spans="1:7" x14ac:dyDescent="0.3">
      <c r="A31" s="1" t="s">
        <v>346</v>
      </c>
      <c r="B31" s="1" t="s">
        <v>197</v>
      </c>
      <c r="D31">
        <f>0.087*500000*D7*3/1200</f>
        <v>10440</v>
      </c>
    </row>
    <row r="32" spans="1:7" x14ac:dyDescent="0.3">
      <c r="F32" t="s">
        <v>336</v>
      </c>
      <c r="G32" t="s">
        <v>340</v>
      </c>
    </row>
    <row r="33" spans="1:7" x14ac:dyDescent="0.3">
      <c r="B33" t="s">
        <v>348</v>
      </c>
      <c r="D33">
        <f>G34</f>
        <v>93.75</v>
      </c>
      <c r="F33" t="s">
        <v>337</v>
      </c>
      <c r="G33" t="s">
        <v>338</v>
      </c>
    </row>
    <row r="34" spans="1:7" x14ac:dyDescent="0.3">
      <c r="B34" t="s">
        <v>349</v>
      </c>
      <c r="D34">
        <f>D13</f>
        <v>93.26</v>
      </c>
      <c r="F34" t="s">
        <v>339</v>
      </c>
      <c r="G34">
        <v>93.75</v>
      </c>
    </row>
    <row r="36" spans="1:7" x14ac:dyDescent="0.3">
      <c r="B36" t="s">
        <v>176</v>
      </c>
      <c r="D36">
        <f>D33-D34</f>
        <v>0.48999999999999488</v>
      </c>
    </row>
    <row r="37" spans="1:7" x14ac:dyDescent="0.3">
      <c r="B37" t="s">
        <v>145</v>
      </c>
      <c r="D37">
        <f>D36*500000*D7*3/1200</f>
        <v>58799.999999999382</v>
      </c>
    </row>
    <row r="41" spans="1:7" x14ac:dyDescent="0.3">
      <c r="A41" s="1" t="s">
        <v>346</v>
      </c>
      <c r="B41" s="1" t="s">
        <v>347</v>
      </c>
    </row>
    <row r="43" spans="1:7" x14ac:dyDescent="0.3">
      <c r="B43" t="s">
        <v>345</v>
      </c>
      <c r="D43">
        <f>D27</f>
        <v>-840000.00000000012</v>
      </c>
    </row>
    <row r="45" spans="1:7" x14ac:dyDescent="0.3">
      <c r="B45" t="s">
        <v>334</v>
      </c>
      <c r="D45">
        <f>D43+D37-D31</f>
        <v>-791640.0000000007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A52D1-1217-4571-974F-3E9E2E90AC17}">
  <dimension ref="A2:H66"/>
  <sheetViews>
    <sheetView topLeftCell="B46" zoomScale="116" workbookViewId="0">
      <selection activeCell="C46" sqref="C46"/>
    </sheetView>
  </sheetViews>
  <sheetFormatPr defaultRowHeight="15.05" x14ac:dyDescent="0.3"/>
  <cols>
    <col min="2" max="2" width="15.88671875" customWidth="1"/>
    <col min="3" max="3" width="10.44140625" customWidth="1"/>
    <col min="4" max="4" width="13.33203125" customWidth="1"/>
    <col min="5" max="5" width="11.33203125" bestFit="1" customWidth="1"/>
    <col min="6" max="6" width="11.5546875" customWidth="1"/>
  </cols>
  <sheetData>
    <row r="2" spans="1:6" x14ac:dyDescent="0.3">
      <c r="B2" t="s">
        <v>30</v>
      </c>
      <c r="D2">
        <v>48000</v>
      </c>
    </row>
    <row r="3" spans="1:6" x14ac:dyDescent="0.3">
      <c r="B3" t="s">
        <v>324</v>
      </c>
      <c r="D3">
        <v>1000</v>
      </c>
      <c r="E3" t="s">
        <v>336</v>
      </c>
      <c r="F3" t="s">
        <v>364</v>
      </c>
    </row>
    <row r="4" spans="1:6" x14ac:dyDescent="0.3">
      <c r="E4" t="s">
        <v>337</v>
      </c>
      <c r="F4" t="s">
        <v>365</v>
      </c>
    </row>
    <row r="5" spans="1:6" x14ac:dyDescent="0.3">
      <c r="A5" s="1" t="s">
        <v>103</v>
      </c>
      <c r="B5" s="1" t="s">
        <v>321</v>
      </c>
      <c r="D5">
        <f>D2*36/(D3*3)</f>
        <v>576</v>
      </c>
      <c r="E5" t="s">
        <v>339</v>
      </c>
      <c r="F5">
        <v>95.75</v>
      </c>
    </row>
    <row r="7" spans="1:6" x14ac:dyDescent="0.3">
      <c r="A7" t="s">
        <v>107</v>
      </c>
      <c r="B7" t="s">
        <v>325</v>
      </c>
    </row>
    <row r="9" spans="1:6" x14ac:dyDescent="0.3">
      <c r="C9" t="s">
        <v>326</v>
      </c>
      <c r="D9" t="s">
        <v>327</v>
      </c>
      <c r="E9" t="s">
        <v>327</v>
      </c>
    </row>
    <row r="10" spans="1:6" x14ac:dyDescent="0.3">
      <c r="D10" t="s">
        <v>367</v>
      </c>
      <c r="E10" t="s">
        <v>368</v>
      </c>
    </row>
    <row r="11" spans="1:6" x14ac:dyDescent="0.3">
      <c r="B11" t="s">
        <v>328</v>
      </c>
      <c r="C11">
        <f>100-3.7</f>
        <v>96.3</v>
      </c>
      <c r="D11">
        <f>100-4.1</f>
        <v>95.9</v>
      </c>
      <c r="E11">
        <f>100-3.3</f>
        <v>96.7</v>
      </c>
    </row>
    <row r="12" spans="1:6" x14ac:dyDescent="0.3">
      <c r="B12" t="s">
        <v>329</v>
      </c>
      <c r="C12">
        <v>95.85</v>
      </c>
      <c r="D12">
        <f>D11-D14</f>
        <v>95.81</v>
      </c>
      <c r="E12">
        <f>E11-E14</f>
        <v>96.61</v>
      </c>
    </row>
    <row r="14" spans="1:6" x14ac:dyDescent="0.3">
      <c r="B14" t="s">
        <v>330</v>
      </c>
      <c r="C14">
        <f>C11-C12</f>
        <v>0.45000000000000284</v>
      </c>
      <c r="D14">
        <f>C14*1/5</f>
        <v>9.0000000000000566E-2</v>
      </c>
      <c r="E14">
        <v>9.0000000000000566E-2</v>
      </c>
    </row>
    <row r="16" spans="1:6" x14ac:dyDescent="0.3">
      <c r="A16" s="1" t="s">
        <v>346</v>
      </c>
      <c r="B16" s="1" t="s">
        <v>197</v>
      </c>
      <c r="D16">
        <f>0.211*D5*D3*3/1200</f>
        <v>303.83999999999997</v>
      </c>
    </row>
    <row r="17" spans="1:5" x14ac:dyDescent="0.3">
      <c r="A17" s="1"/>
      <c r="B17" s="1"/>
    </row>
    <row r="18" spans="1:5" x14ac:dyDescent="0.3">
      <c r="A18" s="1" t="s">
        <v>113</v>
      </c>
      <c r="B18" s="1" t="s">
        <v>347</v>
      </c>
    </row>
    <row r="20" spans="1:5" x14ac:dyDescent="0.3">
      <c r="B20" t="s">
        <v>342</v>
      </c>
    </row>
    <row r="21" spans="1:5" x14ac:dyDescent="0.3">
      <c r="C21" s="1" t="s">
        <v>367</v>
      </c>
      <c r="D21" s="1" t="s">
        <v>368</v>
      </c>
    </row>
    <row r="22" spans="1:5" x14ac:dyDescent="0.3">
      <c r="B22" t="s">
        <v>339</v>
      </c>
      <c r="C22">
        <f>F5</f>
        <v>95.75</v>
      </c>
      <c r="D22">
        <v>95.75</v>
      </c>
    </row>
    <row r="23" spans="1:5" x14ac:dyDescent="0.3">
      <c r="B23" t="s">
        <v>344</v>
      </c>
      <c r="C23">
        <f>D12</f>
        <v>95.81</v>
      </c>
      <c r="D23">
        <f>E12</f>
        <v>96.61</v>
      </c>
    </row>
    <row r="25" spans="1:5" x14ac:dyDescent="0.3">
      <c r="B25" t="s">
        <v>370</v>
      </c>
      <c r="C25">
        <f>C22-C23</f>
        <v>-6.0000000000002274E-2</v>
      </c>
      <c r="D25">
        <f>D22-D23</f>
        <v>-0.85999999999999943</v>
      </c>
    </row>
    <row r="26" spans="1:5" x14ac:dyDescent="0.3">
      <c r="B26" t="s">
        <v>333</v>
      </c>
    </row>
    <row r="27" spans="1:5" x14ac:dyDescent="0.3">
      <c r="B27" t="s">
        <v>366</v>
      </c>
      <c r="C27" t="s">
        <v>371</v>
      </c>
      <c r="D27" t="s">
        <v>371</v>
      </c>
    </row>
    <row r="29" spans="1:5" x14ac:dyDescent="0.3">
      <c r="B29" t="s">
        <v>345</v>
      </c>
      <c r="D29">
        <f>D2*(4.1%+0.5%)*36/12</f>
        <v>6623.9999999999991</v>
      </c>
      <c r="E29">
        <f>D2*(3.3%+0.5%)*36/12</f>
        <v>5472</v>
      </c>
    </row>
    <row r="31" spans="1:5" x14ac:dyDescent="0.3">
      <c r="B31" s="1" t="s">
        <v>373</v>
      </c>
      <c r="C31" s="1"/>
      <c r="D31" s="1">
        <f>D29+D16</f>
        <v>6927.8399999999992</v>
      </c>
      <c r="E31" s="1">
        <f>E29+D16</f>
        <v>5775.84</v>
      </c>
    </row>
    <row r="33" spans="1:5" x14ac:dyDescent="0.3">
      <c r="B33" s="1" t="s">
        <v>374</v>
      </c>
    </row>
    <row r="34" spans="1:5" x14ac:dyDescent="0.3">
      <c r="B34" t="s">
        <v>197</v>
      </c>
      <c r="C34" t="s">
        <v>372</v>
      </c>
      <c r="D34">
        <f>0.198*D5*D3*3/1200</f>
        <v>285.12</v>
      </c>
    </row>
    <row r="36" spans="1:5" x14ac:dyDescent="0.3">
      <c r="B36" s="1" t="s">
        <v>375</v>
      </c>
    </row>
    <row r="38" spans="1:5" x14ac:dyDescent="0.3">
      <c r="C38" s="1" t="s">
        <v>367</v>
      </c>
      <c r="D38" s="1" t="s">
        <v>368</v>
      </c>
    </row>
    <row r="39" spans="1:5" x14ac:dyDescent="0.3">
      <c r="B39" t="s">
        <v>376</v>
      </c>
      <c r="C39">
        <v>96.25</v>
      </c>
      <c r="D39">
        <v>96.25</v>
      </c>
    </row>
    <row r="40" spans="1:5" x14ac:dyDescent="0.3">
      <c r="B40" t="s">
        <v>343</v>
      </c>
      <c r="C40">
        <f>C23</f>
        <v>95.81</v>
      </c>
      <c r="D40">
        <f>D23</f>
        <v>96.61</v>
      </c>
    </row>
    <row r="42" spans="1:5" x14ac:dyDescent="0.3">
      <c r="B42" t="s">
        <v>377</v>
      </c>
      <c r="C42">
        <f>C40-C39</f>
        <v>-0.43999999999999773</v>
      </c>
      <c r="D42">
        <f>D40-D39</f>
        <v>0.35999999999999943</v>
      </c>
    </row>
    <row r="43" spans="1:5" x14ac:dyDescent="0.3">
      <c r="C43" t="s">
        <v>378</v>
      </c>
      <c r="D43" t="s">
        <v>379</v>
      </c>
    </row>
    <row r="44" spans="1:5" x14ac:dyDescent="0.3">
      <c r="A44" s="1"/>
      <c r="B44" s="1" t="s">
        <v>145</v>
      </c>
      <c r="D44">
        <f>D42*D5*D3*3/1200</f>
        <v>518.39999999999918</v>
      </c>
    </row>
    <row r="46" spans="1:5" x14ac:dyDescent="0.3">
      <c r="B46" t="s">
        <v>334</v>
      </c>
      <c r="D46">
        <f>D31-D34</f>
        <v>6642.7199999999993</v>
      </c>
      <c r="E46">
        <f>E31-D34+D44</f>
        <v>6009.119999999999</v>
      </c>
    </row>
    <row r="47" spans="1:5" x14ac:dyDescent="0.3">
      <c r="D47" s="10">
        <f>D46/D2*12/36</f>
        <v>4.612999999999999E-2</v>
      </c>
      <c r="E47" s="5">
        <f>E46/D2*12/36</f>
        <v>4.1729999999999989E-2</v>
      </c>
    </row>
    <row r="49" spans="2:8" x14ac:dyDescent="0.3">
      <c r="D49" s="1" t="s">
        <v>380</v>
      </c>
      <c r="E49" s="1" t="s">
        <v>350</v>
      </c>
    </row>
    <row r="50" spans="2:8" x14ac:dyDescent="0.3">
      <c r="D50" t="s">
        <v>381</v>
      </c>
      <c r="E50" s="5">
        <v>4.8000000000000001E-2</v>
      </c>
      <c r="G50" t="s">
        <v>383</v>
      </c>
      <c r="H50" t="s">
        <v>351</v>
      </c>
    </row>
    <row r="51" spans="2:8" x14ac:dyDescent="0.3">
      <c r="D51" s="5">
        <v>4.5999999999999999E-2</v>
      </c>
      <c r="E51" t="s">
        <v>382</v>
      </c>
      <c r="G51" t="s">
        <v>384</v>
      </c>
      <c r="H51" t="s">
        <v>385</v>
      </c>
    </row>
    <row r="54" spans="2:8" x14ac:dyDescent="0.3">
      <c r="D54" s="1" t="s">
        <v>380</v>
      </c>
      <c r="E54" s="1" t="s">
        <v>350</v>
      </c>
    </row>
    <row r="55" spans="2:8" x14ac:dyDescent="0.3">
      <c r="C55" t="s">
        <v>351</v>
      </c>
      <c r="D55" s="17" t="s">
        <v>386</v>
      </c>
      <c r="E55" s="5">
        <v>4.8000000000000001E-2</v>
      </c>
      <c r="F55" t="s">
        <v>388</v>
      </c>
    </row>
    <row r="56" spans="2:8" x14ac:dyDescent="0.3">
      <c r="C56" t="s">
        <v>385</v>
      </c>
      <c r="D56" s="5">
        <v>4.5999999999999999E-2</v>
      </c>
      <c r="E56" s="17" t="s">
        <v>387</v>
      </c>
      <c r="F56" t="s">
        <v>389</v>
      </c>
    </row>
    <row r="57" spans="2:8" x14ac:dyDescent="0.3">
      <c r="C57" t="s">
        <v>390</v>
      </c>
      <c r="D57" s="5">
        <f>F57/2</f>
        <v>3.0000000000000001E-3</v>
      </c>
      <c r="E57" s="5">
        <f>F57/2</f>
        <v>3.0000000000000001E-3</v>
      </c>
      <c r="F57" s="5">
        <v>6.0000000000000001E-3</v>
      </c>
    </row>
    <row r="58" spans="2:8" x14ac:dyDescent="0.3">
      <c r="C58" t="s">
        <v>391</v>
      </c>
      <c r="D58" s="5">
        <f>D56-D57</f>
        <v>4.2999999999999997E-2</v>
      </c>
      <c r="E58" t="s">
        <v>392</v>
      </c>
    </row>
    <row r="60" spans="2:8" x14ac:dyDescent="0.3">
      <c r="B60" s="1" t="s">
        <v>393</v>
      </c>
    </row>
    <row r="61" spans="2:8" x14ac:dyDescent="0.3">
      <c r="D61" s="1" t="s">
        <v>380</v>
      </c>
      <c r="E61" s="1" t="s">
        <v>350</v>
      </c>
    </row>
    <row r="62" spans="2:8" x14ac:dyDescent="0.3">
      <c r="B62" t="s">
        <v>394</v>
      </c>
      <c r="D62" s="17" t="s">
        <v>386</v>
      </c>
      <c r="E62" s="5">
        <v>4.8000000000000001E-2</v>
      </c>
    </row>
    <row r="63" spans="2:8" x14ac:dyDescent="0.3">
      <c r="B63" t="s">
        <v>395</v>
      </c>
      <c r="D63" t="s">
        <v>397</v>
      </c>
      <c r="E63" t="s">
        <v>398</v>
      </c>
    </row>
    <row r="64" spans="2:8" x14ac:dyDescent="0.3">
      <c r="B64" t="s">
        <v>396</v>
      </c>
      <c r="D64" s="5">
        <v>-3.7999999999999999E-2</v>
      </c>
      <c r="E64" s="5">
        <v>3.7999999999999999E-2</v>
      </c>
    </row>
    <row r="65" spans="2:5" x14ac:dyDescent="0.3">
      <c r="B65" t="s">
        <v>399</v>
      </c>
      <c r="D65" s="5">
        <v>5.0000000000000001E-4</v>
      </c>
      <c r="E65" s="5">
        <v>5.0000000000000001E-4</v>
      </c>
    </row>
    <row r="66" spans="2:5" x14ac:dyDescent="0.3">
      <c r="D66" s="5">
        <v>4.3499999999999997E-2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B64E0-E996-4577-9F2D-F5201170374E}">
  <dimension ref="A2:I45"/>
  <sheetViews>
    <sheetView topLeftCell="A29" zoomScaleNormal="130" workbookViewId="0">
      <selection activeCell="I7" sqref="I7"/>
    </sheetView>
  </sheetViews>
  <sheetFormatPr defaultRowHeight="15.05" x14ac:dyDescent="0.3"/>
  <cols>
    <col min="4" max="4" width="11.109375" bestFit="1" customWidth="1"/>
    <col min="5" max="5" width="11" bestFit="1" customWidth="1"/>
    <col min="8" max="9" width="11" bestFit="1" customWidth="1"/>
  </cols>
  <sheetData>
    <row r="2" spans="1:9" x14ac:dyDescent="0.3">
      <c r="B2" t="s">
        <v>30</v>
      </c>
      <c r="D2">
        <v>48000000</v>
      </c>
      <c r="F2" s="1" t="s">
        <v>406</v>
      </c>
    </row>
    <row r="3" spans="1:9" x14ac:dyDescent="0.3">
      <c r="H3" s="1" t="s">
        <v>367</v>
      </c>
      <c r="I3" s="1" t="s">
        <v>368</v>
      </c>
    </row>
    <row r="4" spans="1:9" x14ac:dyDescent="0.3">
      <c r="A4" s="1" t="s">
        <v>223</v>
      </c>
      <c r="B4" s="18" t="s">
        <v>400</v>
      </c>
      <c r="F4" t="s">
        <v>405</v>
      </c>
      <c r="H4" s="5">
        <f>4.09%+0.9%-0.2%</f>
        <v>4.7899999999999998E-2</v>
      </c>
      <c r="I4" s="5">
        <f>4.09%-0.9%-0.2%</f>
        <v>2.9899999999999996E-2</v>
      </c>
    </row>
    <row r="5" spans="1:9" x14ac:dyDescent="0.3">
      <c r="F5" t="s">
        <v>403</v>
      </c>
      <c r="H5" s="3">
        <f>H4*D2*4/12</f>
        <v>766400</v>
      </c>
      <c r="I5" s="3">
        <f>I4*D2*4/12</f>
        <v>478399.99999999994</v>
      </c>
    </row>
    <row r="6" spans="1:9" x14ac:dyDescent="0.3">
      <c r="B6" t="s">
        <v>401</v>
      </c>
      <c r="D6" s="5">
        <v>4.82E-2</v>
      </c>
      <c r="F6" t="s">
        <v>404</v>
      </c>
      <c r="H6">
        <f>(D6-4.99%)*D2*4/12</f>
        <v>-27200</v>
      </c>
      <c r="I6">
        <f>D2*(D6-3.19%)*4/12</f>
        <v>260800.00000000003</v>
      </c>
    </row>
    <row r="7" spans="1:9" x14ac:dyDescent="0.3">
      <c r="B7" t="s">
        <v>402</v>
      </c>
      <c r="D7" s="3">
        <f>D6*D2*4/12</f>
        <v>771200</v>
      </c>
    </row>
    <row r="8" spans="1:9" x14ac:dyDescent="0.3">
      <c r="F8" t="s">
        <v>162</v>
      </c>
      <c r="H8" s="6">
        <f>SUM(H5:H7)</f>
        <v>739200</v>
      </c>
      <c r="I8" s="6">
        <f>SUM(I5:I7)</f>
        <v>739200</v>
      </c>
    </row>
    <row r="10" spans="1:9" x14ac:dyDescent="0.3">
      <c r="A10" s="1" t="s">
        <v>103</v>
      </c>
      <c r="B10" s="1" t="s">
        <v>321</v>
      </c>
      <c r="C10" s="1"/>
      <c r="D10">
        <f>(D2*4)/(2000000*3)</f>
        <v>32</v>
      </c>
    </row>
    <row r="12" spans="1:9" x14ac:dyDescent="0.3">
      <c r="A12" s="1" t="s">
        <v>107</v>
      </c>
      <c r="B12" s="1" t="s">
        <v>325</v>
      </c>
    </row>
    <row r="13" spans="1:9" x14ac:dyDescent="0.3">
      <c r="D13" s="1" t="s">
        <v>367</v>
      </c>
      <c r="E13" s="1" t="s">
        <v>368</v>
      </c>
    </row>
    <row r="14" spans="1:9" x14ac:dyDescent="0.3">
      <c r="C14" t="s">
        <v>326</v>
      </c>
      <c r="D14" t="s">
        <v>327</v>
      </c>
      <c r="E14" t="s">
        <v>327</v>
      </c>
    </row>
    <row r="15" spans="1:9" x14ac:dyDescent="0.3">
      <c r="B15" t="s">
        <v>328</v>
      </c>
      <c r="C15">
        <f>100-4.09</f>
        <v>95.91</v>
      </c>
      <c r="D15">
        <f>C15-0.9</f>
        <v>95.009999999999991</v>
      </c>
      <c r="E15">
        <f>C15+0.9</f>
        <v>96.81</v>
      </c>
    </row>
    <row r="16" spans="1:9" x14ac:dyDescent="0.3">
      <c r="B16" t="s">
        <v>329</v>
      </c>
      <c r="C16">
        <v>94.76</v>
      </c>
      <c r="D16" s="19">
        <f>D15-D18</f>
        <v>94.55</v>
      </c>
      <c r="E16" s="19">
        <f>E15-E18</f>
        <v>96.350000000000009</v>
      </c>
    </row>
    <row r="18" spans="1:5" x14ac:dyDescent="0.3">
      <c r="B18" t="s">
        <v>330</v>
      </c>
      <c r="C18">
        <f>C15-C16</f>
        <v>1.1499999999999915</v>
      </c>
      <c r="D18" s="7">
        <f>C18*2/5</f>
        <v>0.45999999999999658</v>
      </c>
      <c r="E18" s="7">
        <v>0.45999999999999658</v>
      </c>
    </row>
    <row r="21" spans="1:5" x14ac:dyDescent="0.3">
      <c r="A21" s="1" t="s">
        <v>113</v>
      </c>
      <c r="B21" s="1" t="s">
        <v>341</v>
      </c>
    </row>
    <row r="22" spans="1:5" x14ac:dyDescent="0.3">
      <c r="D22" s="1" t="s">
        <v>367</v>
      </c>
      <c r="E22" s="1" t="s">
        <v>368</v>
      </c>
    </row>
    <row r="23" spans="1:5" x14ac:dyDescent="0.3">
      <c r="B23" t="s">
        <v>407</v>
      </c>
      <c r="D23">
        <f>C16</f>
        <v>94.76</v>
      </c>
      <c r="E23">
        <f>C16</f>
        <v>94.76</v>
      </c>
    </row>
    <row r="24" spans="1:5" x14ac:dyDescent="0.3">
      <c r="B24" t="s">
        <v>408</v>
      </c>
      <c r="D24" s="7">
        <f>D16</f>
        <v>94.55</v>
      </c>
      <c r="E24" s="7">
        <f>E16</f>
        <v>96.350000000000009</v>
      </c>
    </row>
    <row r="26" spans="1:5" x14ac:dyDescent="0.3">
      <c r="B26" t="s">
        <v>176</v>
      </c>
      <c r="D26" s="7">
        <f>D24-D23</f>
        <v>-0.21000000000000796</v>
      </c>
      <c r="E26" s="7">
        <f>E24-E23</f>
        <v>1.5900000000000034</v>
      </c>
    </row>
    <row r="27" spans="1:5" x14ac:dyDescent="0.3">
      <c r="B27" t="s">
        <v>145</v>
      </c>
      <c r="D27" s="3">
        <f>D26*$D$10*2000000*3/1200</f>
        <v>-33600.000000001273</v>
      </c>
      <c r="E27" s="3">
        <f>E26*$D$10*2000000*3/1200</f>
        <v>254400.00000000055</v>
      </c>
    </row>
    <row r="29" spans="1:5" x14ac:dyDescent="0.3">
      <c r="B29" t="s">
        <v>409</v>
      </c>
      <c r="D29">
        <f>$D$2*H4*4/12</f>
        <v>766400</v>
      </c>
      <c r="E29">
        <f>$D$2*I4*4/12</f>
        <v>478399.99999999994</v>
      </c>
    </row>
    <row r="31" spans="1:5" x14ac:dyDescent="0.3">
      <c r="B31" s="1" t="s">
        <v>334</v>
      </c>
      <c r="C31" s="1"/>
      <c r="D31" s="20">
        <f>D29+D27</f>
        <v>732799.99999999872</v>
      </c>
      <c r="E31" s="20">
        <f>E29+E27</f>
        <v>732800.00000000047</v>
      </c>
    </row>
    <row r="33" spans="1:5" x14ac:dyDescent="0.3">
      <c r="B33" t="s">
        <v>339</v>
      </c>
      <c r="D33">
        <v>95</v>
      </c>
    </row>
    <row r="34" spans="1:5" x14ac:dyDescent="0.3">
      <c r="A34" s="1" t="s">
        <v>346</v>
      </c>
      <c r="B34" s="1" t="s">
        <v>197</v>
      </c>
      <c r="D34" s="3">
        <f>0.121*2000000*D10*3/1200</f>
        <v>19360</v>
      </c>
    </row>
    <row r="35" spans="1:5" x14ac:dyDescent="0.3">
      <c r="D35" s="1" t="s">
        <v>367</v>
      </c>
      <c r="E35" s="1" t="s">
        <v>368</v>
      </c>
    </row>
    <row r="36" spans="1:5" x14ac:dyDescent="0.3">
      <c r="B36" t="s">
        <v>339</v>
      </c>
      <c r="D36">
        <f>D33</f>
        <v>95</v>
      </c>
      <c r="E36">
        <f>D33</f>
        <v>95</v>
      </c>
    </row>
    <row r="37" spans="1:5" x14ac:dyDescent="0.3">
      <c r="B37" t="s">
        <v>410</v>
      </c>
      <c r="D37" s="7">
        <f>D24</f>
        <v>94.55</v>
      </c>
      <c r="E37" s="7">
        <f>E24</f>
        <v>96.350000000000009</v>
      </c>
    </row>
    <row r="39" spans="1:5" x14ac:dyDescent="0.3">
      <c r="B39" t="s">
        <v>369</v>
      </c>
      <c r="D39" s="7">
        <f>D37-D36</f>
        <v>-0.45000000000000284</v>
      </c>
      <c r="E39" s="7">
        <f>E37-E36</f>
        <v>1.3500000000000085</v>
      </c>
    </row>
    <row r="40" spans="1:5" x14ac:dyDescent="0.3">
      <c r="B40" t="s">
        <v>366</v>
      </c>
      <c r="D40" t="s">
        <v>378</v>
      </c>
      <c r="E40" t="s">
        <v>379</v>
      </c>
    </row>
    <row r="41" spans="1:5" x14ac:dyDescent="0.3">
      <c r="B41" t="s">
        <v>145</v>
      </c>
      <c r="D41">
        <v>0</v>
      </c>
      <c r="E41" s="3">
        <f>E39*D10*2000000*3/1200</f>
        <v>216000.0000000014</v>
      </c>
    </row>
    <row r="43" spans="1:5" x14ac:dyDescent="0.3">
      <c r="B43" t="s">
        <v>409</v>
      </c>
      <c r="D43">
        <v>766400</v>
      </c>
      <c r="E43">
        <v>478399.99999999994</v>
      </c>
    </row>
    <row r="45" spans="1:5" x14ac:dyDescent="0.3">
      <c r="B45" s="1" t="s">
        <v>334</v>
      </c>
      <c r="C45" s="1"/>
      <c r="D45" s="20">
        <f>D43-D34+D41</f>
        <v>747040</v>
      </c>
      <c r="E45" s="20">
        <f>E43-D34+E41</f>
        <v>675040.0000000014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19A4D-3054-4644-9E73-98D57E8E2C0D}">
  <dimension ref="A2:J70"/>
  <sheetViews>
    <sheetView topLeftCell="A37" zoomScale="127" workbookViewId="0">
      <selection activeCell="E65" sqref="E65"/>
    </sheetView>
  </sheetViews>
  <sheetFormatPr defaultRowHeight="15.05" x14ac:dyDescent="0.3"/>
  <cols>
    <col min="2" max="2" width="10.6640625" customWidth="1"/>
    <col min="3" max="3" width="10.88671875" customWidth="1"/>
    <col min="4" max="4" width="13.77734375" customWidth="1"/>
    <col min="5" max="6" width="12" customWidth="1"/>
    <col min="7" max="7" width="16.88671875" customWidth="1"/>
    <col min="8" max="8" width="11.77734375" customWidth="1"/>
    <col min="9" max="9" width="12.5546875" bestFit="1" customWidth="1"/>
  </cols>
  <sheetData>
    <row r="2" spans="1:4" x14ac:dyDescent="0.3">
      <c r="B2" t="s">
        <v>411</v>
      </c>
      <c r="D2" t="s">
        <v>412</v>
      </c>
    </row>
    <row r="3" spans="1:4" x14ac:dyDescent="0.3">
      <c r="B3" t="s">
        <v>413</v>
      </c>
      <c r="D3" t="s">
        <v>414</v>
      </c>
    </row>
    <row r="4" spans="1:4" x14ac:dyDescent="0.3">
      <c r="B4" t="s">
        <v>322</v>
      </c>
      <c r="D4">
        <v>5060000</v>
      </c>
    </row>
    <row r="5" spans="1:4" x14ac:dyDescent="0.3">
      <c r="B5" t="s">
        <v>324</v>
      </c>
      <c r="D5">
        <v>125000</v>
      </c>
    </row>
    <row r="7" spans="1:4" x14ac:dyDescent="0.3">
      <c r="A7" s="1" t="s">
        <v>223</v>
      </c>
      <c r="B7" s="1" t="s">
        <v>321</v>
      </c>
      <c r="D7" s="7">
        <f>D4/(D5*1.0659)</f>
        <v>37.97729618163055</v>
      </c>
    </row>
    <row r="8" spans="1:4" x14ac:dyDescent="0.3">
      <c r="B8" t="s">
        <v>415</v>
      </c>
      <c r="D8">
        <v>38</v>
      </c>
    </row>
    <row r="10" spans="1:4" x14ac:dyDescent="0.3">
      <c r="A10" s="1" t="s">
        <v>103</v>
      </c>
      <c r="B10" s="1" t="s">
        <v>416</v>
      </c>
    </row>
    <row r="12" spans="1:4" x14ac:dyDescent="0.3">
      <c r="C12" t="s">
        <v>326</v>
      </c>
      <c r="D12" t="s">
        <v>417</v>
      </c>
    </row>
    <row r="13" spans="1:4" x14ac:dyDescent="0.3">
      <c r="B13" t="s">
        <v>328</v>
      </c>
      <c r="C13">
        <v>1.0634999999999999</v>
      </c>
      <c r="D13">
        <v>1.0677000000000001</v>
      </c>
    </row>
    <row r="14" spans="1:4" x14ac:dyDescent="0.3">
      <c r="B14" t="s">
        <v>329</v>
      </c>
      <c r="C14">
        <v>1.0659000000000001</v>
      </c>
      <c r="D14" s="21">
        <f>D13-D16</f>
        <v>1.0685000000000002</v>
      </c>
    </row>
    <row r="16" spans="1:4" x14ac:dyDescent="0.3">
      <c r="B16" t="s">
        <v>330</v>
      </c>
      <c r="C16">
        <f>C13-C14</f>
        <v>-2.4000000000001798E-3</v>
      </c>
      <c r="D16">
        <f>C16*2/6</f>
        <v>-8.0000000000005989E-4</v>
      </c>
    </row>
    <row r="18" spans="1:9" x14ac:dyDescent="0.3">
      <c r="A18" s="1" t="s">
        <v>107</v>
      </c>
      <c r="B18" s="1" t="s">
        <v>418</v>
      </c>
    </row>
    <row r="20" spans="1:9" x14ac:dyDescent="0.3">
      <c r="B20" t="s">
        <v>419</v>
      </c>
      <c r="D20">
        <f>C14</f>
        <v>1.0659000000000001</v>
      </c>
    </row>
    <row r="21" spans="1:9" x14ac:dyDescent="0.3">
      <c r="B21" t="s">
        <v>420</v>
      </c>
      <c r="D21">
        <f>D14</f>
        <v>1.0685000000000002</v>
      </c>
    </row>
    <row r="23" spans="1:9" x14ac:dyDescent="0.3">
      <c r="B23" t="s">
        <v>370</v>
      </c>
      <c r="D23">
        <f>D20-D21</f>
        <v>-2.6000000000001577E-3</v>
      </c>
    </row>
    <row r="24" spans="1:9" x14ac:dyDescent="0.3">
      <c r="B24" t="s">
        <v>145</v>
      </c>
      <c r="D24" s="7">
        <f>D23*D5*D8/D13</f>
        <v>-11566.919546689845</v>
      </c>
    </row>
    <row r="26" spans="1:9" x14ac:dyDescent="0.3">
      <c r="B26" t="s">
        <v>421</v>
      </c>
      <c r="D26" s="3">
        <f>D4/D13</f>
        <v>4739158.9397770902</v>
      </c>
    </row>
    <row r="27" spans="1:9" x14ac:dyDescent="0.3">
      <c r="D27" s="3"/>
    </row>
    <row r="28" spans="1:9" x14ac:dyDescent="0.3">
      <c r="B28" s="1" t="s">
        <v>334</v>
      </c>
      <c r="C28" s="1"/>
      <c r="D28" s="22">
        <f>D26-D24</f>
        <v>4750725.8593237801</v>
      </c>
    </row>
    <row r="29" spans="1:9" x14ac:dyDescent="0.3">
      <c r="B29" s="1"/>
      <c r="C29" s="1"/>
      <c r="D29" s="22"/>
    </row>
    <row r="30" spans="1:9" x14ac:dyDescent="0.3">
      <c r="A30" s="1" t="s">
        <v>429</v>
      </c>
      <c r="G30" s="1" t="s">
        <v>430</v>
      </c>
    </row>
    <row r="31" spans="1:9" x14ac:dyDescent="0.3">
      <c r="A31" s="1"/>
    </row>
    <row r="32" spans="1:9" x14ac:dyDescent="0.3">
      <c r="A32" s="1" t="s">
        <v>113</v>
      </c>
      <c r="B32" s="1" t="s">
        <v>197</v>
      </c>
      <c r="D32" s="3">
        <f>2.16*D8*D5/(100*C13)</f>
        <v>96473.906911142476</v>
      </c>
      <c r="G32" s="1" t="s">
        <v>197</v>
      </c>
      <c r="I32" s="3">
        <f>2.63*D8*D5/(100*C13)</f>
        <v>117465.91443347439</v>
      </c>
    </row>
    <row r="33" spans="1:9" x14ac:dyDescent="0.3">
      <c r="A33" s="1"/>
      <c r="B33" s="1"/>
      <c r="G33" s="1"/>
    </row>
    <row r="34" spans="1:9" x14ac:dyDescent="0.3">
      <c r="A34" s="1" t="s">
        <v>346</v>
      </c>
      <c r="B34" s="1" t="s">
        <v>422</v>
      </c>
      <c r="G34" s="1" t="s">
        <v>422</v>
      </c>
    </row>
    <row r="36" spans="1:9" x14ac:dyDescent="0.3">
      <c r="B36" t="s">
        <v>423</v>
      </c>
      <c r="D36">
        <v>1.06</v>
      </c>
      <c r="G36" t="s">
        <v>423</v>
      </c>
      <c r="I36">
        <v>1.07</v>
      </c>
    </row>
    <row r="37" spans="1:9" x14ac:dyDescent="0.3">
      <c r="B37" t="s">
        <v>420</v>
      </c>
      <c r="D37">
        <f>D14</f>
        <v>1.0685000000000002</v>
      </c>
      <c r="G37" t="s">
        <v>420</v>
      </c>
      <c r="I37">
        <f>D14</f>
        <v>1.0685000000000002</v>
      </c>
    </row>
    <row r="39" spans="1:9" x14ac:dyDescent="0.3">
      <c r="B39" t="s">
        <v>370</v>
      </c>
      <c r="D39">
        <f>D36-D37</f>
        <v>-8.5000000000001741E-3</v>
      </c>
      <c r="G39" t="s">
        <v>176</v>
      </c>
      <c r="I39">
        <f>I36-I37</f>
        <v>1.4999999999998348E-3</v>
      </c>
    </row>
    <row r="40" spans="1:9" x14ac:dyDescent="0.3">
      <c r="B40" t="s">
        <v>424</v>
      </c>
      <c r="D40" s="3">
        <v>0</v>
      </c>
      <c r="G40" t="s">
        <v>176</v>
      </c>
      <c r="I40" s="3">
        <f>I39*D8*D5/D13</f>
        <v>6673.2228153968481</v>
      </c>
    </row>
    <row r="42" spans="1:9" x14ac:dyDescent="0.3">
      <c r="B42" t="s">
        <v>421</v>
      </c>
      <c r="D42" s="3">
        <v>-4739158.9397770902</v>
      </c>
      <c r="G42" t="s">
        <v>421</v>
      </c>
      <c r="I42">
        <v>-4739158.9397770902</v>
      </c>
    </row>
    <row r="43" spans="1:9" x14ac:dyDescent="0.3">
      <c r="B43" t="s">
        <v>370</v>
      </c>
      <c r="D43" s="6">
        <f>D40</f>
        <v>0</v>
      </c>
      <c r="G43" t="s">
        <v>176</v>
      </c>
      <c r="I43" s="6">
        <f>I40</f>
        <v>6673.2228153968481</v>
      </c>
    </row>
    <row r="44" spans="1:9" x14ac:dyDescent="0.3">
      <c r="B44" t="s">
        <v>197</v>
      </c>
      <c r="D44" s="6">
        <f>-D32</f>
        <v>-96473.906911142476</v>
      </c>
      <c r="G44" t="s">
        <v>197</v>
      </c>
      <c r="I44" s="6">
        <f>-I32</f>
        <v>-117465.91443347439</v>
      </c>
    </row>
    <row r="46" spans="1:9" x14ac:dyDescent="0.3">
      <c r="B46" s="1" t="s">
        <v>334</v>
      </c>
      <c r="C46" s="1"/>
      <c r="D46" s="22">
        <f>SUM(D42:D44)</f>
        <v>-4835632.8466882324</v>
      </c>
      <c r="G46" s="1" t="s">
        <v>334</v>
      </c>
      <c r="H46" s="1"/>
      <c r="I46" s="22">
        <f>SUM(I42:I44)</f>
        <v>-4849951.6313951677</v>
      </c>
    </row>
    <row r="48" spans="1:9" x14ac:dyDescent="0.3">
      <c r="A48" s="1" t="s">
        <v>425</v>
      </c>
      <c r="B48" s="1" t="s">
        <v>426</v>
      </c>
    </row>
    <row r="50" spans="2:9" x14ac:dyDescent="0.3">
      <c r="B50" t="s">
        <v>401</v>
      </c>
      <c r="D50">
        <v>1.0677000000000001</v>
      </c>
    </row>
    <row r="51" spans="2:9" x14ac:dyDescent="0.3">
      <c r="B51" s="1" t="s">
        <v>427</v>
      </c>
      <c r="C51" s="1"/>
      <c r="D51" s="22">
        <f>D4/D50</f>
        <v>4739158.9397770902</v>
      </c>
    </row>
    <row r="52" spans="2:9" x14ac:dyDescent="0.3">
      <c r="D52" t="s">
        <v>428</v>
      </c>
    </row>
    <row r="55" spans="2:9" x14ac:dyDescent="0.3">
      <c r="D55" t="s">
        <v>380</v>
      </c>
      <c r="E55" t="s">
        <v>350</v>
      </c>
    </row>
    <row r="56" spans="2:9" x14ac:dyDescent="0.3">
      <c r="D56" s="5">
        <v>2.1999999999999999E-2</v>
      </c>
      <c r="E56" t="s">
        <v>432</v>
      </c>
      <c r="G56" t="s">
        <v>433</v>
      </c>
    </row>
    <row r="57" spans="2:9" x14ac:dyDescent="0.3">
      <c r="D57" t="s">
        <v>431</v>
      </c>
      <c r="E57" s="5">
        <v>3.7999999999999999E-2</v>
      </c>
      <c r="F57" s="5"/>
      <c r="G57" t="s">
        <v>434</v>
      </c>
    </row>
    <row r="58" spans="2:9" x14ac:dyDescent="0.3">
      <c r="C58" t="s">
        <v>390</v>
      </c>
      <c r="D58" s="5">
        <v>6.0000000000000001E-3</v>
      </c>
      <c r="E58" s="5">
        <v>6.0000000000000001E-3</v>
      </c>
      <c r="F58" s="5"/>
      <c r="G58" s="5">
        <v>1.2E-2</v>
      </c>
    </row>
    <row r="59" spans="2:9" x14ac:dyDescent="0.3">
      <c r="C59" t="s">
        <v>438</v>
      </c>
      <c r="D59" s="5">
        <v>1.6E-2</v>
      </c>
      <c r="E59" s="5" t="s">
        <v>439</v>
      </c>
      <c r="F59" s="5"/>
    </row>
    <row r="60" spans="2:9" x14ac:dyDescent="0.3">
      <c r="E60" s="5"/>
      <c r="F60" s="5"/>
    </row>
    <row r="62" spans="2:9" x14ac:dyDescent="0.3">
      <c r="B62" s="1" t="s">
        <v>435</v>
      </c>
    </row>
    <row r="63" spans="2:9" x14ac:dyDescent="0.3">
      <c r="D63" s="1" t="s">
        <v>380</v>
      </c>
      <c r="E63" s="1" t="s">
        <v>350</v>
      </c>
      <c r="F63" s="1"/>
      <c r="G63" t="s">
        <v>380</v>
      </c>
      <c r="H63" t="s">
        <v>350</v>
      </c>
    </row>
    <row r="64" spans="2:9" x14ac:dyDescent="0.3">
      <c r="B64" t="s">
        <v>443</v>
      </c>
      <c r="D64" s="5">
        <v>2.1999999999999999E-2</v>
      </c>
      <c r="E64" s="5" t="s">
        <v>442</v>
      </c>
      <c r="F64" s="5"/>
      <c r="G64" s="5">
        <v>2.1999999999999999E-2</v>
      </c>
      <c r="H64" s="5">
        <v>3.7999999999999999E-2</v>
      </c>
      <c r="I64" s="5">
        <v>1.6E-2</v>
      </c>
    </row>
    <row r="65" spans="2:10" ht="28.8" customHeight="1" x14ac:dyDescent="0.3">
      <c r="B65" s="25" t="s">
        <v>436</v>
      </c>
      <c r="C65" s="25"/>
      <c r="D65" t="s">
        <v>441</v>
      </c>
      <c r="E65" t="s">
        <v>440</v>
      </c>
      <c r="G65" t="s">
        <v>431</v>
      </c>
      <c r="H65" t="s">
        <v>432</v>
      </c>
      <c r="I65" s="5">
        <v>4.0000000000000001E-3</v>
      </c>
    </row>
    <row r="66" spans="2:10" ht="34.049999999999997" customHeight="1" x14ac:dyDescent="0.3">
      <c r="B66" s="25" t="s">
        <v>437</v>
      </c>
      <c r="C66" s="25"/>
      <c r="D66" s="5">
        <v>2.4E-2</v>
      </c>
      <c r="E66" s="5">
        <v>-2.4E-2</v>
      </c>
    </row>
    <row r="67" spans="2:10" x14ac:dyDescent="0.3">
      <c r="B67" t="s">
        <v>399</v>
      </c>
      <c r="D67" s="5">
        <v>-2E-3</v>
      </c>
      <c r="E67" s="5">
        <v>-2E-3</v>
      </c>
      <c r="G67" t="s">
        <v>445</v>
      </c>
      <c r="H67" t="s">
        <v>431</v>
      </c>
      <c r="I67" s="5">
        <v>3.7999999999999999E-2</v>
      </c>
    </row>
    <row r="68" spans="2:10" x14ac:dyDescent="0.3">
      <c r="G68" s="5" t="s">
        <v>390</v>
      </c>
      <c r="H68" s="5">
        <v>6.0000000000000001E-3</v>
      </c>
      <c r="I68" s="5">
        <v>6.0000000000000001E-3</v>
      </c>
      <c r="J68" s="5">
        <f>I64-I65</f>
        <v>1.2E-2</v>
      </c>
    </row>
    <row r="69" spans="2:10" x14ac:dyDescent="0.3">
      <c r="B69" t="s">
        <v>334</v>
      </c>
      <c r="D69" s="5">
        <v>1.7999999999999999E-2</v>
      </c>
      <c r="E69" s="4">
        <v>0.03</v>
      </c>
      <c r="G69" s="5" t="s">
        <v>399</v>
      </c>
      <c r="H69" s="5">
        <v>2E-3</v>
      </c>
      <c r="I69" s="5">
        <v>2E-3</v>
      </c>
    </row>
    <row r="70" spans="2:10" x14ac:dyDescent="0.3">
      <c r="G70" t="s">
        <v>444</v>
      </c>
      <c r="H70" t="s">
        <v>446</v>
      </c>
      <c r="I70" s="5">
        <v>0.03</v>
      </c>
    </row>
  </sheetData>
  <mergeCells count="2">
    <mergeCell ref="B65:C65"/>
    <mergeCell ref="B66:C6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B3636-56E2-4620-ACFC-E3520030C7F5}">
  <dimension ref="A3:F55"/>
  <sheetViews>
    <sheetView topLeftCell="A32" zoomScale="94" workbookViewId="0">
      <selection activeCell="G55" sqref="G55"/>
    </sheetView>
  </sheetViews>
  <sheetFormatPr defaultRowHeight="15.05" x14ac:dyDescent="0.3"/>
  <cols>
    <col min="4" max="4" width="11" bestFit="1" customWidth="1"/>
  </cols>
  <sheetData>
    <row r="3" spans="1:6" x14ac:dyDescent="0.3">
      <c r="B3" s="1" t="s">
        <v>447</v>
      </c>
    </row>
    <row r="4" spans="1:6" x14ac:dyDescent="0.3">
      <c r="E4" t="s">
        <v>336</v>
      </c>
      <c r="F4" t="s">
        <v>343</v>
      </c>
    </row>
    <row r="5" spans="1:6" x14ac:dyDescent="0.3">
      <c r="E5" t="s">
        <v>337</v>
      </c>
      <c r="F5" t="s">
        <v>448</v>
      </c>
    </row>
    <row r="6" spans="1:6" x14ac:dyDescent="0.3">
      <c r="B6" t="s">
        <v>322</v>
      </c>
      <c r="D6">
        <v>24000000</v>
      </c>
    </row>
    <row r="7" spans="1:6" x14ac:dyDescent="0.3">
      <c r="B7" t="s">
        <v>449</v>
      </c>
      <c r="D7">
        <v>500000</v>
      </c>
    </row>
    <row r="8" spans="1:6" x14ac:dyDescent="0.3">
      <c r="A8" s="1" t="s">
        <v>223</v>
      </c>
      <c r="B8" s="1" t="s">
        <v>321</v>
      </c>
      <c r="D8" s="1">
        <f>D6*4/(D7*3)</f>
        <v>64</v>
      </c>
    </row>
    <row r="10" spans="1:6" x14ac:dyDescent="0.3">
      <c r="A10" s="1" t="s">
        <v>103</v>
      </c>
      <c r="B10" s="1" t="s">
        <v>450</v>
      </c>
    </row>
    <row r="12" spans="1:6" x14ac:dyDescent="0.3">
      <c r="C12" t="s">
        <v>326</v>
      </c>
      <c r="D12" t="s">
        <v>327</v>
      </c>
    </row>
    <row r="13" spans="1:6" x14ac:dyDescent="0.3">
      <c r="B13" t="s">
        <v>328</v>
      </c>
      <c r="C13">
        <f>100-5.1</f>
        <v>94.9</v>
      </c>
      <c r="D13">
        <f>100-5.9</f>
        <v>94.1</v>
      </c>
    </row>
    <row r="14" spans="1:6" x14ac:dyDescent="0.3">
      <c r="B14" t="s">
        <v>329</v>
      </c>
      <c r="C14">
        <v>94.55</v>
      </c>
      <c r="D14" s="1">
        <f>D13-D16</f>
        <v>93.96</v>
      </c>
    </row>
    <row r="16" spans="1:6" x14ac:dyDescent="0.3">
      <c r="B16" t="s">
        <v>330</v>
      </c>
      <c r="C16">
        <f>C13-C14</f>
        <v>0.35000000000000853</v>
      </c>
      <c r="D16">
        <f>C16*2/5</f>
        <v>0.1400000000000034</v>
      </c>
    </row>
    <row r="18" spans="1:4" x14ac:dyDescent="0.3">
      <c r="A18" s="1" t="s">
        <v>107</v>
      </c>
      <c r="B18" s="1" t="s">
        <v>451</v>
      </c>
    </row>
    <row r="20" spans="1:4" x14ac:dyDescent="0.3">
      <c r="B20" t="s">
        <v>452</v>
      </c>
      <c r="D20">
        <f>C14</f>
        <v>94.55</v>
      </c>
    </row>
    <row r="21" spans="1:4" x14ac:dyDescent="0.3">
      <c r="B21" t="s">
        <v>420</v>
      </c>
      <c r="D21">
        <f>D14</f>
        <v>93.96</v>
      </c>
    </row>
    <row r="23" spans="1:4" x14ac:dyDescent="0.3">
      <c r="B23" t="s">
        <v>176</v>
      </c>
      <c r="D23">
        <f>D20-D21</f>
        <v>0.59000000000000341</v>
      </c>
    </row>
    <row r="24" spans="1:4" x14ac:dyDescent="0.3">
      <c r="B24" t="s">
        <v>145</v>
      </c>
      <c r="D24" s="3">
        <f>D23*D8*D7*3/1200</f>
        <v>47200.000000000276</v>
      </c>
    </row>
    <row r="26" spans="1:4" x14ac:dyDescent="0.3">
      <c r="B26" t="s">
        <v>345</v>
      </c>
      <c r="D26" s="3">
        <f>D6*(5.9%+0.4%)*4/12</f>
        <v>504000</v>
      </c>
    </row>
    <row r="27" spans="1:4" x14ac:dyDescent="0.3">
      <c r="B27" s="1" t="s">
        <v>427</v>
      </c>
      <c r="C27" s="1"/>
      <c r="D27" s="20">
        <f>D26-D24</f>
        <v>456799.99999999971</v>
      </c>
    </row>
    <row r="28" spans="1:4" x14ac:dyDescent="0.3">
      <c r="B28" s="1" t="s">
        <v>353</v>
      </c>
      <c r="C28" s="1"/>
      <c r="D28" s="13">
        <f>D27/D6*12/4</f>
        <v>5.709999999999997E-2</v>
      </c>
    </row>
    <row r="29" spans="1:4" x14ac:dyDescent="0.3">
      <c r="B29" s="1"/>
      <c r="C29" s="1"/>
      <c r="D29" s="20"/>
    </row>
    <row r="30" spans="1:4" x14ac:dyDescent="0.3">
      <c r="B30" s="1"/>
      <c r="C30" s="1"/>
      <c r="D30" s="20"/>
    </row>
    <row r="32" spans="1:4" ht="15.75" x14ac:dyDescent="0.3">
      <c r="B32" s="2" t="s">
        <v>320</v>
      </c>
    </row>
    <row r="34" spans="2:4" ht="15.75" x14ac:dyDescent="0.3">
      <c r="B34" s="23" t="s">
        <v>322</v>
      </c>
      <c r="D34">
        <v>18000000</v>
      </c>
    </row>
    <row r="35" spans="2:4" x14ac:dyDescent="0.3">
      <c r="B35" t="s">
        <v>324</v>
      </c>
      <c r="D35">
        <v>500000</v>
      </c>
    </row>
    <row r="36" spans="2:4" x14ac:dyDescent="0.3">
      <c r="B36" s="1" t="s">
        <v>321</v>
      </c>
      <c r="C36" s="1"/>
      <c r="D36" s="1">
        <f>D34*5/(D35*3)</f>
        <v>60</v>
      </c>
    </row>
    <row r="37" spans="2:4" x14ac:dyDescent="0.3">
      <c r="B37" s="1" t="s">
        <v>453</v>
      </c>
      <c r="D37">
        <v>94.75</v>
      </c>
    </row>
    <row r="38" spans="2:4" x14ac:dyDescent="0.3">
      <c r="B38" s="1" t="s">
        <v>197</v>
      </c>
      <c r="C38" s="1"/>
      <c r="D38" s="22">
        <f>0.298*D36*D7*3/1200</f>
        <v>22350</v>
      </c>
    </row>
    <row r="40" spans="2:4" x14ac:dyDescent="0.3">
      <c r="B40" s="1" t="s">
        <v>450</v>
      </c>
    </row>
    <row r="42" spans="2:4" x14ac:dyDescent="0.3">
      <c r="C42" t="s">
        <v>326</v>
      </c>
      <c r="D42" t="s">
        <v>327</v>
      </c>
    </row>
    <row r="43" spans="2:4" x14ac:dyDescent="0.3">
      <c r="B43" t="s">
        <v>328</v>
      </c>
      <c r="C43">
        <f>C13</f>
        <v>94.9</v>
      </c>
      <c r="D43">
        <f>100-4.5</f>
        <v>95.5</v>
      </c>
    </row>
    <row r="44" spans="2:4" x14ac:dyDescent="0.3">
      <c r="B44" t="s">
        <v>329</v>
      </c>
      <c r="C44">
        <v>94.5</v>
      </c>
      <c r="D44" s="1">
        <f>D43-D46</f>
        <v>95.45</v>
      </c>
    </row>
    <row r="46" spans="2:4" x14ac:dyDescent="0.3">
      <c r="B46" t="s">
        <v>330</v>
      </c>
      <c r="C46">
        <f>C43-C44</f>
        <v>0.40000000000000568</v>
      </c>
      <c r="D46">
        <f>C46*1/8</f>
        <v>5.0000000000000711E-2</v>
      </c>
    </row>
    <row r="48" spans="2:4" x14ac:dyDescent="0.3">
      <c r="B48" t="s">
        <v>454</v>
      </c>
      <c r="D48">
        <f>D37</f>
        <v>94.75</v>
      </c>
    </row>
    <row r="49" spans="2:4" x14ac:dyDescent="0.3">
      <c r="B49" t="s">
        <v>455</v>
      </c>
      <c r="D49">
        <f>D44</f>
        <v>95.45</v>
      </c>
    </row>
    <row r="51" spans="2:4" x14ac:dyDescent="0.3">
      <c r="B51" t="s">
        <v>176</v>
      </c>
      <c r="D51">
        <f>D49-D48</f>
        <v>0.70000000000000284</v>
      </c>
    </row>
    <row r="52" spans="2:4" x14ac:dyDescent="0.3">
      <c r="B52" t="s">
        <v>333</v>
      </c>
      <c r="D52" s="3">
        <f>D51*D36*D35*3/1200</f>
        <v>52500.000000000211</v>
      </c>
    </row>
    <row r="54" spans="2:4" x14ac:dyDescent="0.3">
      <c r="B54" t="s">
        <v>402</v>
      </c>
      <c r="D54" s="3">
        <f>D34*(4.5%-0.3%)*5/12</f>
        <v>314999.99999999994</v>
      </c>
    </row>
    <row r="55" spans="2:4" x14ac:dyDescent="0.3">
      <c r="B55" s="1" t="s">
        <v>427</v>
      </c>
      <c r="C55" s="1"/>
      <c r="D55" s="20">
        <f>D54-D38+D52</f>
        <v>345150.00000000017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1F0F0-07BB-4213-8506-1CA34DCE21D9}">
  <dimension ref="A2:G51"/>
  <sheetViews>
    <sheetView topLeftCell="A45" zoomScale="121" workbookViewId="0">
      <selection activeCell="C13" sqref="C13"/>
    </sheetView>
  </sheetViews>
  <sheetFormatPr defaultRowHeight="15.05" x14ac:dyDescent="0.3"/>
  <cols>
    <col min="2" max="2" width="13.109375" customWidth="1"/>
    <col min="4" max="4" width="15.6640625" customWidth="1"/>
    <col min="5" max="5" width="13" customWidth="1"/>
  </cols>
  <sheetData>
    <row r="2" spans="1:7" x14ac:dyDescent="0.3">
      <c r="B2" s="1" t="s">
        <v>456</v>
      </c>
    </row>
    <row r="4" spans="1:7" x14ac:dyDescent="0.3">
      <c r="D4" t="s">
        <v>461</v>
      </c>
    </row>
    <row r="5" spans="1:7" x14ac:dyDescent="0.3">
      <c r="C5" s="1" t="s">
        <v>457</v>
      </c>
      <c r="D5" s="1" t="s">
        <v>458</v>
      </c>
      <c r="E5" s="1" t="s">
        <v>459</v>
      </c>
      <c r="F5" s="1" t="s">
        <v>460</v>
      </c>
      <c r="G5" s="1" t="s">
        <v>145</v>
      </c>
    </row>
    <row r="6" spans="1:7" x14ac:dyDescent="0.3">
      <c r="B6" s="1" t="s">
        <v>457</v>
      </c>
      <c r="C6" s="7"/>
      <c r="D6" s="7">
        <v>12.17</v>
      </c>
      <c r="E6" s="7">
        <f>1.57/0.7358</f>
        <v>2.1337319923892362</v>
      </c>
      <c r="F6" s="7"/>
      <c r="G6" s="7">
        <f>SUM(C6:F6)</f>
        <v>14.303731992389237</v>
      </c>
    </row>
    <row r="7" spans="1:7" x14ac:dyDescent="0.3">
      <c r="A7" t="s">
        <v>462</v>
      </c>
      <c r="B7" s="1" t="s">
        <v>458</v>
      </c>
      <c r="C7" s="7"/>
      <c r="D7" s="7"/>
      <c r="E7" s="7">
        <f>43.65*0.0932</f>
        <v>4.0681799999999999</v>
      </c>
      <c r="F7" s="7">
        <f>16.35*0.1823</f>
        <v>2.9806050000000002</v>
      </c>
      <c r="G7" s="7">
        <f t="shared" ref="G7:G9" si="0">SUM(C7:F7)</f>
        <v>7.0487850000000005</v>
      </c>
    </row>
    <row r="8" spans="1:7" x14ac:dyDescent="0.3">
      <c r="B8" s="1" t="s">
        <v>459</v>
      </c>
      <c r="C8" s="7">
        <v>19.78</v>
      </c>
      <c r="D8" s="7"/>
      <c r="E8" s="7"/>
      <c r="F8" s="7"/>
      <c r="G8" s="7">
        <f t="shared" si="0"/>
        <v>19.78</v>
      </c>
    </row>
    <row r="9" spans="1:7" x14ac:dyDescent="0.3">
      <c r="B9" s="1" t="s">
        <v>460</v>
      </c>
      <c r="C9" s="7">
        <f>21.29*0.1823</f>
        <v>3.8811669999999996</v>
      </c>
      <c r="D9" s="7"/>
      <c r="E9" s="7">
        <f>1.55/0.7358</f>
        <v>2.1065506931231313</v>
      </c>
      <c r="F9" s="7"/>
      <c r="G9" s="7">
        <f t="shared" si="0"/>
        <v>5.9877176931231304</v>
      </c>
    </row>
    <row r="10" spans="1:7" x14ac:dyDescent="0.3">
      <c r="B10" s="1" t="s">
        <v>145</v>
      </c>
      <c r="C10" s="7">
        <f>SUM(C6:C9)</f>
        <v>23.661166999999999</v>
      </c>
      <c r="D10" s="7">
        <f t="shared" ref="D10:F10" si="1">SUM(D6:D9)</f>
        <v>12.17</v>
      </c>
      <c r="E10" s="7">
        <f t="shared" si="1"/>
        <v>8.3084626855123673</v>
      </c>
      <c r="F10" s="7">
        <f t="shared" si="1"/>
        <v>2.9806050000000002</v>
      </c>
      <c r="G10" s="7"/>
    </row>
    <row r="11" spans="1:7" x14ac:dyDescent="0.3">
      <c r="C11">
        <f>4.64-3.73</f>
        <v>0.9099999999999997</v>
      </c>
    </row>
    <row r="13" spans="1:7" x14ac:dyDescent="0.3">
      <c r="B13" s="1" t="s">
        <v>457</v>
      </c>
      <c r="C13" s="7">
        <f>G6-C10</f>
        <v>-9.3574350076107624</v>
      </c>
    </row>
    <row r="14" spans="1:7" x14ac:dyDescent="0.3">
      <c r="B14" s="1" t="s">
        <v>458</v>
      </c>
      <c r="C14" s="7">
        <f>G7-D10</f>
        <v>-5.1212149999999994</v>
      </c>
    </row>
    <row r="15" spans="1:7" x14ac:dyDescent="0.3">
      <c r="B15" s="1" t="s">
        <v>459</v>
      </c>
      <c r="C15" s="7">
        <f>G8-E10</f>
        <v>11.471537314487634</v>
      </c>
    </row>
    <row r="16" spans="1:7" x14ac:dyDescent="0.3">
      <c r="B16" s="1" t="s">
        <v>460</v>
      </c>
      <c r="C16" s="7">
        <f>G9-F10</f>
        <v>3.0071126931231302</v>
      </c>
    </row>
    <row r="18" spans="2:4" x14ac:dyDescent="0.3">
      <c r="B18" t="s">
        <v>463</v>
      </c>
    </row>
    <row r="19" spans="2:4" x14ac:dyDescent="0.3">
      <c r="B19" t="s">
        <v>464</v>
      </c>
    </row>
    <row r="23" spans="2:4" x14ac:dyDescent="0.3">
      <c r="B23" s="1" t="s">
        <v>336</v>
      </c>
      <c r="C23" t="s">
        <v>465</v>
      </c>
    </row>
    <row r="24" spans="2:4" x14ac:dyDescent="0.3">
      <c r="B24" s="1" t="s">
        <v>337</v>
      </c>
      <c r="C24" t="s">
        <v>365</v>
      </c>
    </row>
    <row r="25" spans="2:4" x14ac:dyDescent="0.3">
      <c r="B25" s="1" t="s">
        <v>339</v>
      </c>
      <c r="C25">
        <v>96.5</v>
      </c>
    </row>
    <row r="27" spans="2:4" x14ac:dyDescent="0.3">
      <c r="B27" t="s">
        <v>322</v>
      </c>
      <c r="D27">
        <v>25000000</v>
      </c>
    </row>
    <row r="28" spans="2:4" x14ac:dyDescent="0.3">
      <c r="B28" t="s">
        <v>324</v>
      </c>
      <c r="D28">
        <v>1000000</v>
      </c>
    </row>
    <row r="30" spans="2:4" x14ac:dyDescent="0.3">
      <c r="B30" s="1" t="s">
        <v>321</v>
      </c>
      <c r="D30" s="1">
        <f>D27*6/(D28*3)</f>
        <v>50</v>
      </c>
    </row>
    <row r="31" spans="2:4" x14ac:dyDescent="0.3">
      <c r="B31" s="1"/>
      <c r="D31" s="1"/>
    </row>
    <row r="32" spans="2:4" x14ac:dyDescent="0.3">
      <c r="B32" s="1" t="s">
        <v>197</v>
      </c>
      <c r="D32" s="22">
        <f>0.123*$D$30*$D$28*3/1200</f>
        <v>15375</v>
      </c>
    </row>
    <row r="34" spans="2:5" x14ac:dyDescent="0.3">
      <c r="B34" s="1" t="s">
        <v>325</v>
      </c>
    </row>
    <row r="35" spans="2:5" x14ac:dyDescent="0.3">
      <c r="D35" s="1" t="s">
        <v>467</v>
      </c>
      <c r="E35" s="1" t="s">
        <v>468</v>
      </c>
    </row>
    <row r="36" spans="2:5" x14ac:dyDescent="0.3">
      <c r="C36" t="s">
        <v>326</v>
      </c>
      <c r="D36" t="s">
        <v>327</v>
      </c>
    </row>
    <row r="37" spans="2:5" x14ac:dyDescent="0.3">
      <c r="B37" t="s">
        <v>466</v>
      </c>
      <c r="C37">
        <f>100-3.6</f>
        <v>96.4</v>
      </c>
      <c r="D37">
        <f>C37+0.5</f>
        <v>96.9</v>
      </c>
      <c r="E37">
        <f>C37-0.5</f>
        <v>95.9</v>
      </c>
    </row>
    <row r="38" spans="2:5" x14ac:dyDescent="0.3">
      <c r="B38" t="s">
        <v>329</v>
      </c>
      <c r="C38">
        <v>95.76</v>
      </c>
      <c r="D38" s="24">
        <f>D37-D40</f>
        <v>96.740000000000009</v>
      </c>
      <c r="E38" s="24">
        <f>E37-E40</f>
        <v>95.740000000000009</v>
      </c>
    </row>
    <row r="40" spans="2:5" x14ac:dyDescent="0.3">
      <c r="B40" t="s">
        <v>330</v>
      </c>
      <c r="C40">
        <f>C37-C38</f>
        <v>0.64000000000000057</v>
      </c>
      <c r="D40">
        <f>C40*1/4</f>
        <v>0.16000000000000014</v>
      </c>
      <c r="E40">
        <f>C40*1/4</f>
        <v>0.16000000000000014</v>
      </c>
    </row>
    <row r="42" spans="2:5" x14ac:dyDescent="0.3">
      <c r="D42" s="1" t="s">
        <v>467</v>
      </c>
      <c r="E42" s="1" t="s">
        <v>468</v>
      </c>
    </row>
    <row r="43" spans="2:5" x14ac:dyDescent="0.3">
      <c r="B43" t="s">
        <v>469</v>
      </c>
      <c r="D43">
        <f>C25</f>
        <v>96.5</v>
      </c>
      <c r="E43">
        <f>D43</f>
        <v>96.5</v>
      </c>
    </row>
    <row r="44" spans="2:5" x14ac:dyDescent="0.3">
      <c r="B44" t="s">
        <v>455</v>
      </c>
      <c r="D44">
        <f>D38</f>
        <v>96.740000000000009</v>
      </c>
      <c r="E44">
        <f>E38</f>
        <v>95.740000000000009</v>
      </c>
    </row>
    <row r="46" spans="2:5" x14ac:dyDescent="0.3">
      <c r="B46" t="s">
        <v>369</v>
      </c>
      <c r="D46">
        <f>D44-D43</f>
        <v>0.24000000000000909</v>
      </c>
      <c r="E46">
        <f>E44-E43</f>
        <v>-0.75999999999999091</v>
      </c>
    </row>
    <row r="47" spans="2:5" x14ac:dyDescent="0.3">
      <c r="B47" t="s">
        <v>366</v>
      </c>
      <c r="D47" t="s">
        <v>379</v>
      </c>
      <c r="E47" t="s">
        <v>371</v>
      </c>
    </row>
    <row r="48" spans="2:5" x14ac:dyDescent="0.3">
      <c r="B48" t="s">
        <v>470</v>
      </c>
      <c r="D48" s="3">
        <f>D46*D30*D28*3/1200</f>
        <v>30000.000000001135</v>
      </c>
      <c r="E48">
        <v>0</v>
      </c>
    </row>
    <row r="50" spans="2:5" x14ac:dyDescent="0.3">
      <c r="B50" t="s">
        <v>402</v>
      </c>
      <c r="D50" s="3">
        <f>D27*(3.1%-0.4%)*6/12</f>
        <v>337500</v>
      </c>
      <c r="E50" s="3">
        <f>D27*(4.1%-0.4%)*6/12</f>
        <v>462499.99999999983</v>
      </c>
    </row>
    <row r="51" spans="2:5" x14ac:dyDescent="0.3">
      <c r="B51" s="1" t="s">
        <v>471</v>
      </c>
      <c r="C51" s="1"/>
      <c r="D51" s="20">
        <f>D50+D48-D32</f>
        <v>352125.00000000116</v>
      </c>
      <c r="E51" s="20">
        <f>E50+E48-E32</f>
        <v>462499.99999999983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E7A0C-ED3B-40B0-AC1C-57F59F14C654}">
  <dimension ref="B3:L24"/>
  <sheetViews>
    <sheetView zoomScale="102" workbookViewId="0">
      <selection activeCell="D30" sqref="D30"/>
    </sheetView>
  </sheetViews>
  <sheetFormatPr defaultRowHeight="15.05" x14ac:dyDescent="0.3"/>
  <cols>
    <col min="2" max="2" width="14.77734375" customWidth="1"/>
    <col min="3" max="3" width="11.5546875" customWidth="1"/>
    <col min="5" max="5" width="10" customWidth="1"/>
  </cols>
  <sheetData>
    <row r="3" spans="2:12" x14ac:dyDescent="0.3">
      <c r="C3" s="1" t="s">
        <v>472</v>
      </c>
      <c r="D3" s="1" t="s">
        <v>473</v>
      </c>
      <c r="E3" s="1" t="s">
        <v>476</v>
      </c>
      <c r="J3" s="1" t="s">
        <v>472</v>
      </c>
      <c r="K3" s="1" t="s">
        <v>473</v>
      </c>
      <c r="L3" s="1" t="s">
        <v>476</v>
      </c>
    </row>
    <row r="4" spans="2:12" x14ac:dyDescent="0.3">
      <c r="B4" t="s">
        <v>166</v>
      </c>
      <c r="C4">
        <v>548</v>
      </c>
      <c r="D4">
        <v>135</v>
      </c>
      <c r="E4">
        <f>C4+D4+27</f>
        <v>710</v>
      </c>
      <c r="H4" t="s">
        <v>481</v>
      </c>
      <c r="J4">
        <v>800</v>
      </c>
      <c r="K4">
        <v>300</v>
      </c>
      <c r="L4">
        <f>E5</f>
        <v>1100</v>
      </c>
    </row>
    <row r="5" spans="2:12" x14ac:dyDescent="0.3">
      <c r="B5" t="s">
        <v>474</v>
      </c>
      <c r="C5">
        <v>800</v>
      </c>
      <c r="D5">
        <v>450</v>
      </c>
      <c r="E5">
        <f>C5+(D5*2/3)</f>
        <v>1100</v>
      </c>
    </row>
    <row r="6" spans="2:12" x14ac:dyDescent="0.3">
      <c r="B6" t="s">
        <v>270</v>
      </c>
      <c r="C6">
        <v>8.2200000000000006</v>
      </c>
      <c r="E6">
        <f>E7/E5</f>
        <v>8.5200000000000014</v>
      </c>
    </row>
    <row r="7" spans="2:12" x14ac:dyDescent="0.3">
      <c r="B7" t="s">
        <v>475</v>
      </c>
      <c r="C7">
        <f>C6*C5</f>
        <v>6576.0000000000009</v>
      </c>
      <c r="D7">
        <f>D4*D9</f>
        <v>1620.0000000000002</v>
      </c>
      <c r="E7">
        <f>E9*E4</f>
        <v>9372.0000000000018</v>
      </c>
    </row>
    <row r="8" spans="2:12" x14ac:dyDescent="0.3">
      <c r="B8" t="s">
        <v>477</v>
      </c>
      <c r="E8">
        <f>E7-D7-C7</f>
        <v>1176.0000000000009</v>
      </c>
    </row>
    <row r="9" spans="2:12" x14ac:dyDescent="0.3">
      <c r="B9" t="s">
        <v>168</v>
      </c>
      <c r="C9">
        <f>C7/C4</f>
        <v>12.000000000000002</v>
      </c>
      <c r="D9">
        <f>C9</f>
        <v>12.000000000000002</v>
      </c>
      <c r="E9">
        <f>D9*1.1</f>
        <v>13.200000000000003</v>
      </c>
    </row>
    <row r="12" spans="2:12" x14ac:dyDescent="0.3">
      <c r="B12" s="1" t="s">
        <v>478</v>
      </c>
      <c r="H12" t="s">
        <v>223</v>
      </c>
      <c r="I12">
        <f>E7*C7/D7</f>
        <v>38043.377777777787</v>
      </c>
    </row>
    <row r="13" spans="2:12" x14ac:dyDescent="0.3">
      <c r="B13" t="s">
        <v>479</v>
      </c>
      <c r="D13">
        <f>E7-C7</f>
        <v>2796.0000000000009</v>
      </c>
    </row>
    <row r="14" spans="2:12" x14ac:dyDescent="0.3">
      <c r="B14" t="s">
        <v>480</v>
      </c>
      <c r="D14">
        <f>E6*K4</f>
        <v>2556.0000000000005</v>
      </c>
    </row>
    <row r="16" spans="2:12" x14ac:dyDescent="0.3">
      <c r="B16" t="s">
        <v>176</v>
      </c>
      <c r="D16">
        <f>D13-D14</f>
        <v>240.00000000000045</v>
      </c>
    </row>
    <row r="17" spans="2:4" x14ac:dyDescent="0.3">
      <c r="B17" t="s">
        <v>300</v>
      </c>
      <c r="D17" s="5">
        <f>D16/C7</f>
        <v>3.649635036496357E-2</v>
      </c>
    </row>
    <row r="19" spans="2:4" x14ac:dyDescent="0.3">
      <c r="B19" s="1" t="s">
        <v>482</v>
      </c>
    </row>
    <row r="20" spans="2:4" x14ac:dyDescent="0.3">
      <c r="B20" t="s">
        <v>179</v>
      </c>
      <c r="D20">
        <f>D14</f>
        <v>2556.0000000000005</v>
      </c>
    </row>
    <row r="21" spans="2:4" x14ac:dyDescent="0.3">
      <c r="B21" t="s">
        <v>483</v>
      </c>
      <c r="D21">
        <f>D7</f>
        <v>1620.0000000000002</v>
      </c>
    </row>
    <row r="23" spans="2:4" x14ac:dyDescent="0.3">
      <c r="B23" t="s">
        <v>176</v>
      </c>
      <c r="D23">
        <f>D20-D21</f>
        <v>936.00000000000023</v>
      </c>
    </row>
    <row r="24" spans="2:4" x14ac:dyDescent="0.3">
      <c r="B24" t="s">
        <v>300</v>
      </c>
      <c r="D24" s="5">
        <f>D23/D7</f>
        <v>0.57777777777777783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7E9AB-37A0-40EE-AE30-829490297ACA}">
  <dimension ref="B3:H21"/>
  <sheetViews>
    <sheetView topLeftCell="A3" zoomScale="123" workbookViewId="0">
      <selection activeCell="F23" sqref="F23"/>
    </sheetView>
  </sheetViews>
  <sheetFormatPr defaultRowHeight="15.05" x14ac:dyDescent="0.3"/>
  <cols>
    <col min="2" max="2" width="17.33203125" customWidth="1"/>
    <col min="3" max="3" width="9.6640625" bestFit="1" customWidth="1"/>
  </cols>
  <sheetData>
    <row r="3" spans="2:8" x14ac:dyDescent="0.3">
      <c r="B3" t="s">
        <v>77</v>
      </c>
      <c r="C3">
        <v>0</v>
      </c>
      <c r="D3">
        <v>1</v>
      </c>
      <c r="E3">
        <v>2</v>
      </c>
      <c r="F3">
        <v>3</v>
      </c>
      <c r="G3">
        <v>4</v>
      </c>
    </row>
    <row r="4" spans="2:8" x14ac:dyDescent="0.3">
      <c r="B4" t="s">
        <v>208</v>
      </c>
      <c r="D4" s="3">
        <v>720</v>
      </c>
      <c r="E4" s="3">
        <f>D4*1.08</f>
        <v>777.6</v>
      </c>
      <c r="F4" s="3">
        <f t="shared" ref="F4:G4" si="0">E4*1.08</f>
        <v>839.80800000000011</v>
      </c>
      <c r="G4" s="3">
        <f t="shared" si="0"/>
        <v>906.99264000000016</v>
      </c>
    </row>
    <row r="5" spans="2:8" x14ac:dyDescent="0.3">
      <c r="B5" t="s">
        <v>490</v>
      </c>
      <c r="D5" s="3">
        <f>D4*0.14</f>
        <v>100.80000000000001</v>
      </c>
      <c r="E5" s="3">
        <f t="shared" ref="E5:G5" si="1">E4*0.14</f>
        <v>108.86400000000002</v>
      </c>
      <c r="F5" s="3">
        <f t="shared" si="1"/>
        <v>117.57312000000003</v>
      </c>
      <c r="G5" s="3">
        <f t="shared" si="1"/>
        <v>126.97896960000004</v>
      </c>
    </row>
    <row r="7" spans="2:8" x14ac:dyDescent="0.3">
      <c r="B7" t="s">
        <v>210</v>
      </c>
      <c r="D7">
        <v>-25</v>
      </c>
      <c r="E7" s="6">
        <f>(E4-D4)*-0.3</f>
        <v>-17.280000000000005</v>
      </c>
      <c r="F7" s="6">
        <f t="shared" ref="F7:H7" si="2">(F4-E4)*-0.3</f>
        <v>-18.662400000000023</v>
      </c>
      <c r="G7" s="6">
        <f t="shared" si="2"/>
        <v>-20.155392000000017</v>
      </c>
      <c r="H7" s="6"/>
    </row>
    <row r="9" spans="2:8" x14ac:dyDescent="0.3">
      <c r="B9" t="s">
        <v>211</v>
      </c>
      <c r="D9" s="6">
        <f>SUM(D5:D8)</f>
        <v>75.800000000000011</v>
      </c>
      <c r="E9" s="6">
        <f t="shared" ref="E9:G9" si="3">SUM(E5:E8)</f>
        <v>91.584000000000017</v>
      </c>
      <c r="F9" s="6">
        <f t="shared" si="3"/>
        <v>98.910720000000012</v>
      </c>
      <c r="G9" s="6">
        <f t="shared" si="3"/>
        <v>106.82357760000002</v>
      </c>
    </row>
    <row r="10" spans="2:8" x14ac:dyDescent="0.3">
      <c r="B10" t="s">
        <v>220</v>
      </c>
      <c r="G10" s="6">
        <f>G9*(1.04)/(10%-4%)</f>
        <v>1851.6086784000004</v>
      </c>
    </row>
    <row r="11" spans="2:8" x14ac:dyDescent="0.3">
      <c r="B11" t="s">
        <v>95</v>
      </c>
      <c r="D11" s="6">
        <f>SUM(D9:D10)</f>
        <v>75.800000000000011</v>
      </c>
      <c r="E11" s="6">
        <f t="shared" ref="E11:G11" si="4">SUM(E9:E10)</f>
        <v>91.584000000000017</v>
      </c>
      <c r="F11" s="6">
        <f t="shared" si="4"/>
        <v>98.910720000000012</v>
      </c>
      <c r="G11" s="6">
        <f t="shared" si="4"/>
        <v>1958.4322560000005</v>
      </c>
    </row>
    <row r="12" spans="2:8" x14ac:dyDescent="0.3">
      <c r="C12" s="4">
        <v>0.1</v>
      </c>
    </row>
    <row r="13" spans="2:8" x14ac:dyDescent="0.3">
      <c r="B13" t="s">
        <v>205</v>
      </c>
      <c r="C13" s="3">
        <f>NPV(C12,D11:G11)</f>
        <v>1556.5470172802402</v>
      </c>
    </row>
    <row r="14" spans="2:8" x14ac:dyDescent="0.3">
      <c r="B14" t="s">
        <v>206</v>
      </c>
      <c r="C14" s="6">
        <f>C13*3/4</f>
        <v>1167.4102629601803</v>
      </c>
    </row>
    <row r="15" spans="2:8" x14ac:dyDescent="0.3">
      <c r="B15" t="s">
        <v>477</v>
      </c>
      <c r="C15" s="6">
        <f>C14-620-340</f>
        <v>207.41026296018026</v>
      </c>
    </row>
    <row r="17" spans="2:7" x14ac:dyDescent="0.3">
      <c r="B17" s="1" t="s">
        <v>491</v>
      </c>
      <c r="G17">
        <v>5961</v>
      </c>
    </row>
    <row r="18" spans="2:7" x14ac:dyDescent="0.3">
      <c r="B18" t="s">
        <v>492</v>
      </c>
      <c r="D18" s="6">
        <f>5961.7-3960</f>
        <v>2001.6999999999998</v>
      </c>
    </row>
    <row r="19" spans="2:7" x14ac:dyDescent="0.3">
      <c r="B19" t="s">
        <v>179</v>
      </c>
      <c r="D19">
        <f>1477*1.3</f>
        <v>1920.1000000000001</v>
      </c>
    </row>
    <row r="20" spans="2:7" x14ac:dyDescent="0.3">
      <c r="B20" t="s">
        <v>176</v>
      </c>
      <c r="D20" s="6">
        <f>D18-D19</f>
        <v>81.599999999999682</v>
      </c>
    </row>
    <row r="21" spans="2:7" x14ac:dyDescent="0.3">
      <c r="B21" t="s">
        <v>191</v>
      </c>
      <c r="D21" s="5">
        <f>D20/620</f>
        <v>0.13161290322580593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D747B-5989-48DF-9AC9-7969572A7642}">
  <dimension ref="B4:H15"/>
  <sheetViews>
    <sheetView tabSelected="1" zoomScale="124" workbookViewId="0">
      <selection activeCell="E17" sqref="E17"/>
    </sheetView>
  </sheetViews>
  <sheetFormatPr defaultRowHeight="15.05" x14ac:dyDescent="0.3"/>
  <cols>
    <col min="4" max="4" width="11.21875" customWidth="1"/>
    <col min="5" max="5" width="10.21875" customWidth="1"/>
  </cols>
  <sheetData>
    <row r="4" spans="2:8" x14ac:dyDescent="0.3">
      <c r="D4" t="s">
        <v>167</v>
      </c>
      <c r="E4" t="s">
        <v>270</v>
      </c>
      <c r="F4" t="s">
        <v>170</v>
      </c>
      <c r="G4" t="s">
        <v>496</v>
      </c>
    </row>
    <row r="5" spans="2:8" x14ac:dyDescent="0.3">
      <c r="B5" s="1" t="s">
        <v>493</v>
      </c>
      <c r="D5">
        <v>50</v>
      </c>
      <c r="E5">
        <v>6.5</v>
      </c>
      <c r="F5">
        <f>D5*E5</f>
        <v>325</v>
      </c>
      <c r="G5">
        <f>F5/8</f>
        <v>40.625</v>
      </c>
    </row>
    <row r="6" spans="2:8" x14ac:dyDescent="0.3">
      <c r="B6" s="1" t="s">
        <v>494</v>
      </c>
      <c r="D6">
        <v>2</v>
      </c>
      <c r="F6" s="7">
        <f>G6*(1.03)/(15%-3%)</f>
        <v>60.083333333333336</v>
      </c>
      <c r="G6">
        <v>7</v>
      </c>
    </row>
    <row r="7" spans="2:8" x14ac:dyDescent="0.3">
      <c r="B7" s="1" t="s">
        <v>495</v>
      </c>
      <c r="D7">
        <f>D5+(D6*5)</f>
        <v>60</v>
      </c>
      <c r="E7">
        <f>F7/D7</f>
        <v>7.0166666666666666</v>
      </c>
      <c r="F7">
        <f>G7*8</f>
        <v>421</v>
      </c>
      <c r="G7">
        <f>G5+G6+5</f>
        <v>52.625</v>
      </c>
    </row>
    <row r="8" spans="2:8" x14ac:dyDescent="0.3">
      <c r="B8" s="1" t="s">
        <v>477</v>
      </c>
      <c r="F8" s="7">
        <f>F7-F6-F5</f>
        <v>35.916666666666686</v>
      </c>
    </row>
    <row r="9" spans="2:8" x14ac:dyDescent="0.3">
      <c r="B9" s="1" t="s">
        <v>189</v>
      </c>
      <c r="D9">
        <f>D6*5</f>
        <v>10</v>
      </c>
    </row>
    <row r="10" spans="2:8" x14ac:dyDescent="0.3">
      <c r="B10" s="1" t="s">
        <v>497</v>
      </c>
    </row>
    <row r="11" spans="2:8" x14ac:dyDescent="0.3">
      <c r="B11" s="26" t="s">
        <v>498</v>
      </c>
      <c r="D11">
        <f>F7-F5</f>
        <v>96</v>
      </c>
      <c r="G11" s="7">
        <f>D12</f>
        <v>70.166666666666671</v>
      </c>
    </row>
    <row r="12" spans="2:8" x14ac:dyDescent="0.3">
      <c r="B12" s="26" t="s">
        <v>179</v>
      </c>
      <c r="D12" s="7">
        <f>10*E7</f>
        <v>70.166666666666671</v>
      </c>
      <c r="G12" s="7">
        <f>F6</f>
        <v>60.083333333333336</v>
      </c>
    </row>
    <row r="14" spans="2:8" x14ac:dyDescent="0.3">
      <c r="B14" t="s">
        <v>176</v>
      </c>
      <c r="D14" s="7">
        <f>D11-D12</f>
        <v>25.833333333333329</v>
      </c>
      <c r="G14" s="7">
        <f>G11-G12</f>
        <v>10.083333333333336</v>
      </c>
      <c r="H14">
        <f>G14/F8</f>
        <v>0.28074245939675163</v>
      </c>
    </row>
    <row r="15" spans="2:8" x14ac:dyDescent="0.3">
      <c r="D15" s="5">
        <f>D14/F5</f>
        <v>7.9487179487179468E-2</v>
      </c>
      <c r="G15" s="5">
        <f>G14/F6</f>
        <v>0.16782246879334262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OPAO</vt:lpstr>
      <vt:lpstr>Felinhen</vt:lpstr>
      <vt:lpstr>Joshua</vt:lpstr>
      <vt:lpstr>Garnod</vt:lpstr>
      <vt:lpstr>Sheet13</vt:lpstr>
      <vt:lpstr>Lurgshall</vt:lpstr>
      <vt:lpstr>Sheet15</vt:lpstr>
      <vt:lpstr>Fitzharris</vt:lpstr>
      <vt:lpstr>AWAN</vt:lpstr>
      <vt:lpstr>CMC</vt:lpstr>
      <vt:lpstr>Abertafol</vt:lpstr>
      <vt:lpstr>Armstrong</vt:lpstr>
      <vt:lpstr>Mortexa</vt:lpstr>
      <vt:lpstr>Propleis</vt:lpstr>
      <vt:lpstr>Selorne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Moazzam</dc:creator>
  <cp:lastModifiedBy>Muhammad Moazzam</cp:lastModifiedBy>
  <cp:lastPrinted>2026-09-07T16:20:57Z</cp:lastPrinted>
  <dcterms:created xsi:type="dcterms:W3CDTF">2015-06-05T18:17:20Z</dcterms:created>
  <dcterms:modified xsi:type="dcterms:W3CDTF">2026-09-07T21:18:20Z</dcterms:modified>
</cp:coreProperties>
</file>